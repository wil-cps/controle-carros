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Carros" sheetId="1" r:id="rId5"/>
    <sheet state="visible" name="Despesas" sheetId="2" r:id="rId6"/>
    <sheet state="visible" name="Documentos" sheetId="3" r:id="rId7"/>
    <sheet state="visible" name="Pagamentos 2026" sheetId="4" r:id="rId8"/>
    <sheet state="visible" name=" Pagamentos 2027" sheetId="5" r:id="rId9"/>
  </sheets>
  <definedNames>
    <definedName hidden="1" localSheetId="1" name="_xlnm._FilterDatabase">Despesas!$A$4:$Z$36</definedName>
    <definedName hidden="1" localSheetId="2" name="_xlnm._FilterDatabase">Documentos!$A$4:$F$12</definedName>
  </definedNames>
  <calcPr/>
</workbook>
</file>

<file path=xl/sharedStrings.xml><?xml version="1.0" encoding="utf-8"?>
<sst xmlns="http://schemas.openxmlformats.org/spreadsheetml/2006/main" count="276" uniqueCount="140">
  <si>
    <t>Controle de Compra e Venda de Carros</t>
  </si>
  <si>
    <t>Despesas por Veículo (item a item)</t>
  </si>
  <si>
    <t>Documentos e Fotos por Veículo (Google Drive / OneDrive)</t>
  </si>
  <si>
    <t>ID</t>
  </si>
  <si>
    <t>Lance cada despesa em uma linha separada. Use o 'ID do veículo' correspondente da aba Controle de Carros.</t>
  </si>
  <si>
    <t>Modelo</t>
  </si>
  <si>
    <t>Janeiro</t>
  </si>
  <si>
    <t>ID do veículo</t>
  </si>
  <si>
    <t>Fevereiro</t>
  </si>
  <si>
    <t>Abril</t>
  </si>
  <si>
    <t>Maio</t>
  </si>
  <si>
    <t>Placa (referência)</t>
  </si>
  <si>
    <t>Junho</t>
  </si>
  <si>
    <t>Julho</t>
  </si>
  <si>
    <t>Agosto</t>
  </si>
  <si>
    <t>Setembro</t>
  </si>
  <si>
    <t>Data da despesa</t>
  </si>
  <si>
    <t>Outubro</t>
  </si>
  <si>
    <t>Item / Descrição</t>
  </si>
  <si>
    <t>Novembro</t>
  </si>
  <si>
    <t>Dezembro</t>
  </si>
  <si>
    <t>Valor</t>
  </si>
  <si>
    <t>Preencha as células amarelas. Detalhe as despesas na aba 'Despesas' e documentos na aba 'Documentos'. Custo final, Lucro, Despesas e Status são calculados automaticamente.</t>
  </si>
  <si>
    <t>Data da compra</t>
  </si>
  <si>
    <t>RTM 9G72</t>
  </si>
  <si>
    <t>Marca</t>
  </si>
  <si>
    <t>Toro Endurance 2.0</t>
  </si>
  <si>
    <t>Ano</t>
  </si>
  <si>
    <t>Placa</t>
  </si>
  <si>
    <t>Sociedade</t>
  </si>
  <si>
    <t>Remap Ney</t>
  </si>
  <si>
    <t>Cole aqui o link do Google Drive ou OneDrive de cada arquivo (foto, contrato, CRLV, nota fiscal etc). Clique no link para abrir.</t>
  </si>
  <si>
    <t>Antigo dono</t>
  </si>
  <si>
    <t>1/43</t>
  </si>
  <si>
    <t>Valor de compra</t>
  </si>
  <si>
    <t>Despesas (total)</t>
  </si>
  <si>
    <t>Reservatório agua</t>
  </si>
  <si>
    <t>Custo final</t>
  </si>
  <si>
    <t>Sandeiro 1.6 8v</t>
  </si>
  <si>
    <t>Valor FIPE</t>
  </si>
  <si>
    <t>Data da venda</t>
  </si>
  <si>
    <t>Reparo da bomba de vacuo</t>
  </si>
  <si>
    <t>HB20</t>
  </si>
  <si>
    <t>Novo comprador</t>
  </si>
  <si>
    <t>Valor de venda</t>
  </si>
  <si>
    <t>Higienização</t>
  </si>
  <si>
    <t>Parcelamento</t>
  </si>
  <si>
    <t>X1</t>
  </si>
  <si>
    <t>Valor da entrada</t>
  </si>
  <si>
    <t>Nº de parcelas</t>
  </si>
  <si>
    <t>Comissão para Lagoa</t>
  </si>
  <si>
    <t>Valor da parcela</t>
  </si>
  <si>
    <t>Lucro</t>
  </si>
  <si>
    <t>Tipo de documento</t>
  </si>
  <si>
    <t xml:space="preserve">VW GOL 1.0 PRETO FLEX </t>
  </si>
  <si>
    <t>Status</t>
  </si>
  <si>
    <t>Link do arquivo</t>
  </si>
  <si>
    <t>Data de upload</t>
  </si>
  <si>
    <t xml:space="preserve">Bomba de alta </t>
  </si>
  <si>
    <t>Fiat</t>
  </si>
  <si>
    <t>Uai Veiculos</t>
  </si>
  <si>
    <t>Toro Endurance 2.1</t>
  </si>
  <si>
    <t>EZP 6E22</t>
  </si>
  <si>
    <t>Pçs p retífica do cabeçote</t>
  </si>
  <si>
    <t>Pneus</t>
  </si>
  <si>
    <t>Cabo de vela</t>
  </si>
  <si>
    <t>FXL5I69</t>
  </si>
  <si>
    <t>FUNILARIA JOEL</t>
  </si>
  <si>
    <t>CRLV</t>
  </si>
  <si>
    <t>https://drive.google.com/file/d/1W1LHjCCUqtgjcn_nkKkGcJwBy6uliQeU/view?usp=drive_link</t>
  </si>
  <si>
    <t>PATRIKA VISTORIA</t>
  </si>
  <si>
    <t>Chevrolet Onix Lt 1.0 Prata Flex</t>
  </si>
  <si>
    <t>KEVIN HIGIENIZAÇÃO</t>
  </si>
  <si>
    <t>PNEUS</t>
  </si>
  <si>
    <t>GM/ASTRA HB 4P ADVANTAGE</t>
  </si>
  <si>
    <t>Documento</t>
  </si>
  <si>
    <t>HONDA/CB 250F TWISTER</t>
  </si>
  <si>
    <t>Calotas</t>
  </si>
  <si>
    <t xml:space="preserve">Lagoa </t>
  </si>
  <si>
    <t>Pneus/conserto</t>
  </si>
  <si>
    <t>Rele/lampada</t>
  </si>
  <si>
    <t>Parcelado</t>
  </si>
  <si>
    <t>SENSOR ROTAÇÃO</t>
  </si>
  <si>
    <t xml:space="preserve">Bobina IGN </t>
  </si>
  <si>
    <t>EQN1J10</t>
  </si>
  <si>
    <t>Guincho e viagem (Pirassununga)</t>
  </si>
  <si>
    <t>Filtro lub, anel pistão, jogo de juntas, filtro de ar e biela</t>
  </si>
  <si>
    <t>Bronzina</t>
  </si>
  <si>
    <t>Peças</t>
  </si>
  <si>
    <t xml:space="preserve">PEÇAS mercado livre </t>
  </si>
  <si>
    <t>GTO7G79</t>
  </si>
  <si>
    <t>GOL</t>
  </si>
  <si>
    <t>PNEU</t>
  </si>
  <si>
    <t>QQD9C35</t>
  </si>
  <si>
    <t xml:space="preserve">ONIX </t>
  </si>
  <si>
    <t>EZP6E22</t>
  </si>
  <si>
    <t>GUINCHO TORTO</t>
  </si>
  <si>
    <t>Renault</t>
  </si>
  <si>
    <t>ATPV</t>
  </si>
  <si>
    <t>ATPV SANDERO.pdf</t>
  </si>
  <si>
    <t>Chave</t>
  </si>
  <si>
    <t>Módulo</t>
  </si>
  <si>
    <t xml:space="preserve">Conexão cavalete d agua </t>
  </si>
  <si>
    <t>Para-choque Diant/Tras</t>
  </si>
  <si>
    <t>Cristina</t>
  </si>
  <si>
    <t>Laudo Cautelar</t>
  </si>
  <si>
    <r>
      <rPr>
        <rFont val="Arial"/>
        <color rgb="FF1155CC"/>
        <sz val="11.0"/>
        <u/>
      </rPr>
      <t>https://drive.google.com/file/d/1EuWfmyyBK2JMQDXojVsm5M0HJX-gCQan/view?usp=drive_link</t>
    </r>
    <r>
      <rPr>
        <rFont val="Arial"/>
        <sz val="11.0"/>
      </rPr>
      <t>k</t>
    </r>
  </si>
  <si>
    <t>Hyundai</t>
  </si>
  <si>
    <t>Suellin</t>
  </si>
  <si>
    <t>Laudo Transferência</t>
  </si>
  <si>
    <t>https://drive.google.com/file/d/1vVoZDFbQj7h3oyae4x3ye-jgX2LvBhBv/view?usp=drive_link</t>
  </si>
  <si>
    <t>NELSON</t>
  </si>
  <si>
    <t>BMW</t>
  </si>
  <si>
    <t>Giuseppe Maset</t>
  </si>
  <si>
    <t xml:space="preserve"> </t>
  </si>
  <si>
    <t>Legenda:</t>
  </si>
  <si>
    <t>Em estoque</t>
  </si>
  <si>
    <t>Células amarelas = preencher manualmente</t>
  </si>
  <si>
    <t>https://drive.google.com/file/d/1T2G3FYgpwWVhxBbt29dgI-Hy7DUwcWt7/view?usp=drive_link</t>
  </si>
  <si>
    <t>O total de cada carro aparece automaticamente nas colunas 'Despesas (total)' e 'Custo final' da aba Controle de Carros</t>
  </si>
  <si>
    <t>Lagoa</t>
  </si>
  <si>
    <t>Uai Veículos</t>
  </si>
  <si>
    <r>
      <rPr>
        <rFont val="Arial"/>
        <sz val="11.0"/>
      </rPr>
      <t xml:space="preserve"> </t>
    </r>
    <r>
      <rPr>
        <rFont val="Arial"/>
        <color rgb="FF1155CC"/>
        <sz val="11.0"/>
        <u/>
      </rPr>
      <t>https://drive.google.com/file/d/1HGKEV554gyggUrUU-OG16qcOXKPwavQu/view?usp=drive_link</t>
    </r>
  </si>
  <si>
    <t>ONIX</t>
  </si>
  <si>
    <t>EBM7E53</t>
  </si>
  <si>
    <t>ASTRA</t>
  </si>
  <si>
    <t>https://drive.google.com/file/d/1NDPPjG-anPYcLCGk_HAXp52tnBf6O_UG/view?usp=drive_link</t>
  </si>
  <si>
    <t>NELSON DE SOUZA SILVA</t>
  </si>
  <si>
    <t>QIU0B54</t>
  </si>
  <si>
    <t>TWISTER</t>
  </si>
  <si>
    <t>https://drive.google.com/file/d/1AtxRp-ZtSHiyDiuAWOKBwtAYPN56oLaC/view?usp=drive_link</t>
  </si>
  <si>
    <t xml:space="preserve">DIOGENES DE SOUZA ARAUJO </t>
  </si>
  <si>
    <t>DIOGENES DE SOUZA ARAUJO</t>
  </si>
  <si>
    <t>Cole o link de compartilhamento do Google Drive ou OneDrive na coluna 'Link do arquivo' (deixe o arquivo com permissão de visualização)</t>
  </si>
  <si>
    <t>Use o mesmo ID do veículo da aba Controle de Carros para vincular os documentos ao carro certo</t>
  </si>
  <si>
    <t>ID = gerado automaticamente; use esse número nas abas Despesas e Documentos para vincular ao carro</t>
  </si>
  <si>
    <t>Despesas (total) = soma automática dos itens lançados na aba Despesas</t>
  </si>
  <si>
    <t>Custo final = Valor de compra + Despesas (total)</t>
  </si>
  <si>
    <t>Valor FIPE = preencher manualmente com a tabela FIPE do veículo (referência de mercado)</t>
  </si>
  <si>
    <t>Lucro = Valor de venda - Custo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</si>
</sst>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 &quot;#,##0.00"/>
    <numFmt numFmtId="165" formatCode="dd/mm"/>
    <numFmt numFmtId="166" formatCode="&quot;R$&quot;\ #,##0.00"/>
  </numFmts>
  <fonts count="10">
    <font>
      <sz val="11.0"/>
      <color theme="1"/>
      <name val="Calibri"/>
      <scheme val="minor"/>
    </font>
    <font>
      <b/>
      <sz val="16.0"/>
      <color rgb="FF1F4E78"/>
      <name val="Arial"/>
    </font>
    <font>
      <b/>
      <sz val="11.0"/>
      <color rgb="FFFFFFFF"/>
      <name val="Arial"/>
    </font>
    <font>
      <i/>
      <sz val="10.0"/>
      <color rgb="FF666666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CC"/>
        <bgColor rgb="FFFFFF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3" fontId="4" numFmtId="0" xfId="0" applyBorder="1" applyFill="1" applyFont="1"/>
    <xf borderId="1" fillId="0" fontId="4" numFmtId="0" xfId="0" applyBorder="1" applyFont="1"/>
    <xf borderId="1" fillId="3" fontId="4" numFmtId="16" xfId="0" applyBorder="1" applyFill="1" applyFont="1" applyNumberFormat="1"/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4" numFmtId="164" xfId="0" applyBorder="1" applyFill="1" applyFont="1" applyNumberFormat="1"/>
    <xf borderId="1" fillId="3" fontId="4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3" fontId="4" numFmtId="165" xfId="0" applyAlignment="1" applyBorder="1" applyFill="1" applyFont="1" applyNumberFormat="1">
      <alignment readingOrder="0"/>
    </xf>
    <xf borderId="1" fillId="3" fontId="4" numFmtId="164" xfId="0" applyAlignment="1" applyBorder="1" applyFill="1" applyFont="1" applyNumberFormat="1">
      <alignment readingOrder="0"/>
    </xf>
    <xf borderId="1" fillId="0" fontId="4" numFmtId="164" xfId="0" applyBorder="1" applyFont="1" applyNumberFormat="1"/>
    <xf borderId="0" fillId="3" fontId="4" numFmtId="0" xfId="0" applyFill="1" applyFont="1"/>
    <xf borderId="1" fillId="3" fontId="4" numFmtId="166" xfId="0" applyBorder="1" applyFill="1" applyFont="1" applyNumberFormat="1"/>
    <xf borderId="1" fillId="3" fontId="5" numFmtId="0" xfId="0" applyAlignment="1" applyBorder="1" applyFill="1" applyFont="1">
      <alignment readingOrder="0"/>
    </xf>
    <xf borderId="1" fillId="3" fontId="6" numFmtId="0" xfId="0" applyBorder="1" applyFill="1" applyFont="1"/>
    <xf borderId="1" fillId="3" fontId="4" numFmtId="16" xfId="0" applyAlignment="1" applyBorder="1" applyFill="1" applyFont="1" applyNumberFormat="1">
      <alignment readingOrder="0"/>
    </xf>
    <xf borderId="0" fillId="0" fontId="7" numFmtId="0" xfId="0" applyFont="1"/>
    <xf borderId="0" fillId="0" fontId="8" numFmtId="0" xfId="0" applyFont="1"/>
    <xf borderId="1" fillId="3" fontId="4" numFmtId="166" xfId="0" applyAlignment="1" applyBorder="1" applyFill="1" applyFont="1" applyNumberFormat="1">
      <alignment readingOrder="0"/>
    </xf>
    <xf borderId="1" fillId="3" fontId="9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1LHjCCUqtgjcn_nkKkGcJwBy6uliQeU/view?usp=drive_link" TargetMode="External"/><Relationship Id="rId2" Type="http://schemas.openxmlformats.org/officeDocument/2006/relationships/hyperlink" Target="https://drive.google.com/file/d/15U-G576yirASEPK3b2uxzgIH1MuJDlLf/view?usp=drive_link" TargetMode="External"/><Relationship Id="rId3" Type="http://schemas.openxmlformats.org/officeDocument/2006/relationships/hyperlink" Target="https://drive.google.com/file/d/1EuWfmyyBK2JMQDXojVsm5M0HJX-gCQan/view?usp=drive_link" TargetMode="External"/><Relationship Id="rId4" Type="http://schemas.openxmlformats.org/officeDocument/2006/relationships/hyperlink" Target="https://drive.google.com/file/d/1vVoZDFbQj7h3oyae4x3ye-jgX2LvBhBv/view?usp=drive_link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rive.google.com/file/d/1T2G3FYgpwWVhxBbt29dgI-Hy7DUwcWt7/view?usp=drive_link" TargetMode="External"/><Relationship Id="rId6" Type="http://schemas.openxmlformats.org/officeDocument/2006/relationships/hyperlink" Target="https://drive.google.com/file/d/1HGKEV554gyggUrUU-OG16qcOXKPwavQu/view?usp=drive_link" TargetMode="External"/><Relationship Id="rId7" Type="http://schemas.openxmlformats.org/officeDocument/2006/relationships/hyperlink" Target="https://drive.google.com/file/d/1NDPPjG-anPYcLCGk_HAXp52tnBf6O_UG/view?usp=drive_link" TargetMode="External"/><Relationship Id="rId8" Type="http://schemas.openxmlformats.org/officeDocument/2006/relationships/hyperlink" Target="https://drive.google.com/file/d/1AtxRp-ZtSHiyDiuAWOKBwtAYPN56oLaC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12.0"/>
    <col customWidth="1" min="4" max="4" width="49.43"/>
    <col customWidth="1" min="5" max="5" width="5.57"/>
    <col customWidth="1" min="6" max="6" width="13.71"/>
    <col customWidth="1" min="7" max="8" width="32.57"/>
    <col customWidth="1" min="9" max="10" width="15.0"/>
    <col customWidth="1" min="11" max="11" width="18.57"/>
    <col customWidth="1" min="12" max="13" width="14.71"/>
    <col customWidth="1" min="14" max="14" width="38.57"/>
    <col customWidth="1" min="15" max="16" width="15.0"/>
    <col customWidth="1" min="17" max="17" width="16.43"/>
    <col customWidth="1" min="18" max="18" width="12.0"/>
    <col customWidth="1" min="19" max="19" width="15.0"/>
    <col customWidth="1" min="20" max="20" width="14.0"/>
    <col customWidth="1" min="21" max="21" width="19.14"/>
    <col customWidth="1" min="22" max="27" width="8.71"/>
  </cols>
  <sheetData>
    <row r="1">
      <c r="A1" s="1" t="s">
        <v>0</v>
      </c>
    </row>
    <row r="2">
      <c r="A2" s="3" t="s">
        <v>22</v>
      </c>
    </row>
    <row r="4" ht="30.0" customHeight="1">
      <c r="A4" s="2" t="s">
        <v>3</v>
      </c>
      <c r="B4" s="2" t="s">
        <v>23</v>
      </c>
      <c r="C4" s="2" t="s">
        <v>25</v>
      </c>
      <c r="D4" s="2" t="s">
        <v>5</v>
      </c>
      <c r="E4" s="2" t="s">
        <v>27</v>
      </c>
      <c r="F4" s="2" t="s">
        <v>28</v>
      </c>
      <c r="G4" s="7" t="s">
        <v>29</v>
      </c>
      <c r="H4" s="2" t="s">
        <v>32</v>
      </c>
      <c r="I4" s="2" t="s">
        <v>34</v>
      </c>
      <c r="J4" s="2" t="s">
        <v>35</v>
      </c>
      <c r="K4" s="2" t="s">
        <v>37</v>
      </c>
      <c r="L4" s="2" t="s">
        <v>39</v>
      </c>
      <c r="M4" s="2" t="s">
        <v>40</v>
      </c>
      <c r="N4" s="2" t="s">
        <v>43</v>
      </c>
      <c r="O4" s="2" t="s">
        <v>44</v>
      </c>
      <c r="P4" s="2" t="s">
        <v>46</v>
      </c>
      <c r="Q4" s="2" t="s">
        <v>48</v>
      </c>
      <c r="R4" s="2" t="s">
        <v>49</v>
      </c>
      <c r="S4" s="2" t="s">
        <v>51</v>
      </c>
      <c r="T4" s="2" t="s">
        <v>52</v>
      </c>
      <c r="U4" s="2" t="s">
        <v>55</v>
      </c>
    </row>
    <row r="5">
      <c r="A5" s="5">
        <v>1.0</v>
      </c>
      <c r="B5" s="6">
        <v>46268.0</v>
      </c>
      <c r="C5" s="4" t="s">
        <v>59</v>
      </c>
      <c r="D5" s="4" t="s">
        <v>26</v>
      </c>
      <c r="E5" s="4">
        <v>2022.0</v>
      </c>
      <c r="F5" s="4" t="s">
        <v>24</v>
      </c>
      <c r="G5" s="4"/>
      <c r="H5" s="4" t="s">
        <v>60</v>
      </c>
      <c r="I5" s="8">
        <v>74900.0</v>
      </c>
      <c r="J5" s="13">
        <f>IF(B5="","",SUMIF(Despesas!$A:$A,A5,Despesas!$F:$F))</f>
        <v>10200</v>
      </c>
      <c r="K5" s="13">
        <f t="shared" ref="K5:K51" si="1">IF(B5="","",I5+J5)</f>
        <v>85100</v>
      </c>
      <c r="L5" s="15">
        <v>101000.0</v>
      </c>
      <c r="M5" s="6">
        <v>46289.0</v>
      </c>
      <c r="N5" s="4" t="s">
        <v>78</v>
      </c>
      <c r="O5" s="8">
        <v>148500.0</v>
      </c>
      <c r="P5" s="4" t="s">
        <v>81</v>
      </c>
      <c r="Q5" s="8">
        <v>41000.0</v>
      </c>
      <c r="R5" s="4">
        <v>43.0</v>
      </c>
      <c r="S5" s="8">
        <v>2500.0</v>
      </c>
      <c r="T5" s="13">
        <f t="shared" ref="T5:T8" si="2">IF(O5="","",(O5-I5-J5))</f>
        <v>63400</v>
      </c>
      <c r="U5" s="8" t="str">
        <f t="shared" ref="U5:U7" si="3">IF(B5="","",IF(M5="","Em estoque","Vendido"))</f>
        <v>Vendido</v>
      </c>
      <c r="V5" s="13"/>
      <c r="W5" s="5"/>
    </row>
    <row r="6">
      <c r="A6" s="5">
        <v>2.0</v>
      </c>
      <c r="B6" s="6">
        <v>46268.0</v>
      </c>
      <c r="C6" s="4" t="s">
        <v>97</v>
      </c>
      <c r="D6" s="4" t="s">
        <v>38</v>
      </c>
      <c r="E6" s="4">
        <v>2014.0</v>
      </c>
      <c r="F6" s="4" t="s">
        <v>95</v>
      </c>
      <c r="G6" s="4"/>
      <c r="H6" s="4" t="s">
        <v>60</v>
      </c>
      <c r="I6" s="8">
        <v>16900.0</v>
      </c>
      <c r="J6" s="13">
        <f>IF(B6="","",SUMIF(Despesas!$A:$A,A6,Despesas!$F:$F))</f>
        <v>1035</v>
      </c>
      <c r="K6" s="13">
        <f t="shared" si="1"/>
        <v>17935</v>
      </c>
      <c r="L6" s="15">
        <v>32000.0</v>
      </c>
      <c r="M6" s="6">
        <v>46290.0</v>
      </c>
      <c r="N6" s="4" t="s">
        <v>104</v>
      </c>
      <c r="O6" s="8">
        <v>44000.0</v>
      </c>
      <c r="P6" s="4" t="s">
        <v>81</v>
      </c>
      <c r="Q6" s="8">
        <v>14000.0</v>
      </c>
      <c r="R6" s="4">
        <v>30.0</v>
      </c>
      <c r="S6" s="8">
        <v>1000.0</v>
      </c>
      <c r="T6" s="13">
        <f t="shared" si="2"/>
        <v>26065</v>
      </c>
      <c r="U6" s="8" t="str">
        <f t="shared" si="3"/>
        <v>Vendido</v>
      </c>
      <c r="V6" s="13"/>
      <c r="W6" s="5"/>
    </row>
    <row r="7">
      <c r="A7" s="5">
        <v>3.0</v>
      </c>
      <c r="B7" s="6">
        <v>46273.0</v>
      </c>
      <c r="C7" s="4" t="s">
        <v>107</v>
      </c>
      <c r="D7" s="4" t="s">
        <v>42</v>
      </c>
      <c r="E7" s="4">
        <v>2015.0</v>
      </c>
      <c r="F7" s="4" t="s">
        <v>66</v>
      </c>
      <c r="G7" s="4"/>
      <c r="H7" s="4" t="s">
        <v>108</v>
      </c>
      <c r="I7" s="8">
        <v>33000.0</v>
      </c>
      <c r="J7" s="13">
        <f>IF(B7="","",SUMIF(Despesas!$A:$A,A7,Despesas!$F:$F))</f>
        <v>7251.84</v>
      </c>
      <c r="K7" s="13">
        <f t="shared" si="1"/>
        <v>40251.84</v>
      </c>
      <c r="L7" s="15">
        <v>50000.0</v>
      </c>
      <c r="M7" s="18">
        <v>46297.0</v>
      </c>
      <c r="N7" s="9" t="s">
        <v>111</v>
      </c>
      <c r="O7" s="12">
        <v>78000.0</v>
      </c>
      <c r="P7" s="9" t="s">
        <v>81</v>
      </c>
      <c r="Q7" s="12">
        <v>18000.0</v>
      </c>
      <c r="R7" s="9">
        <v>40.0</v>
      </c>
      <c r="S7" s="12">
        <v>1500.0</v>
      </c>
      <c r="T7" s="13">
        <f t="shared" si="2"/>
        <v>37748.16</v>
      </c>
      <c r="U7" s="8" t="str">
        <f t="shared" si="3"/>
        <v>Vendido</v>
      </c>
      <c r="V7" s="13"/>
      <c r="W7" s="5"/>
    </row>
    <row r="8">
      <c r="A8" s="5">
        <v>4.0</v>
      </c>
      <c r="B8" s="6">
        <v>46283.0</v>
      </c>
      <c r="C8" s="4" t="s">
        <v>112</v>
      </c>
      <c r="D8" s="4" t="s">
        <v>47</v>
      </c>
      <c r="E8" s="4">
        <v>2013.0</v>
      </c>
      <c r="F8" s="4" t="s">
        <v>84</v>
      </c>
      <c r="G8" s="4"/>
      <c r="H8" s="4" t="s">
        <v>113</v>
      </c>
      <c r="I8" s="8">
        <v>33500.0</v>
      </c>
      <c r="J8" s="13">
        <f>IF(B8="","",SUMIF(Despesas!$A:$A,A8,Despesas!$F:$F))</f>
        <v>3252.96</v>
      </c>
      <c r="K8" s="13">
        <f t="shared" si="1"/>
        <v>36752.96</v>
      </c>
      <c r="L8" s="15">
        <v>74000.0</v>
      </c>
      <c r="M8" s="9" t="s">
        <v>114</v>
      </c>
      <c r="N8" s="9" t="s">
        <v>114</v>
      </c>
      <c r="O8" s="8"/>
      <c r="P8" s="4"/>
      <c r="Q8" s="8"/>
      <c r="R8" s="4"/>
      <c r="S8" s="8"/>
      <c r="T8" s="13" t="str">
        <f t="shared" si="2"/>
        <v/>
      </c>
      <c r="U8" s="8" t="s">
        <v>116</v>
      </c>
      <c r="V8" s="13"/>
      <c r="W8" s="5"/>
    </row>
    <row r="9">
      <c r="A9" s="10">
        <v>5.0</v>
      </c>
      <c r="B9" s="6">
        <v>46294.0</v>
      </c>
      <c r="C9" s="9" t="s">
        <v>91</v>
      </c>
      <c r="D9" s="9" t="s">
        <v>54</v>
      </c>
      <c r="E9" s="9">
        <v>2012.0</v>
      </c>
      <c r="F9" s="9" t="s">
        <v>90</v>
      </c>
      <c r="G9" s="9" t="s">
        <v>120</v>
      </c>
      <c r="H9" s="9" t="s">
        <v>121</v>
      </c>
      <c r="I9" s="12">
        <v>19900.0</v>
      </c>
      <c r="J9" s="13">
        <f>IF(B9="","",SUMIF(Despesas!$A:$A,A9,Despesas!$F:$F))</f>
        <v>200</v>
      </c>
      <c r="K9" s="13">
        <f t="shared" si="1"/>
        <v>20100</v>
      </c>
      <c r="L9" s="21">
        <v>28990.0</v>
      </c>
      <c r="M9" s="9" t="s">
        <v>114</v>
      </c>
      <c r="N9" s="9" t="s">
        <v>114</v>
      </c>
      <c r="O9" s="12"/>
      <c r="P9" s="4"/>
      <c r="Q9" s="8"/>
      <c r="R9" s="4"/>
      <c r="S9" s="8"/>
      <c r="T9" s="13" t="str">
        <f t="shared" ref="T9:T11" si="4">IF(O9="","",(O9-K9))</f>
        <v/>
      </c>
      <c r="U9" s="8" t="s">
        <v>116</v>
      </c>
    </row>
    <row r="10">
      <c r="A10" s="5">
        <f>IF(B10="","",ROW()-4)</f>
        <v>6</v>
      </c>
      <c r="B10" s="6">
        <v>46294.0</v>
      </c>
      <c r="C10" s="9" t="s">
        <v>123</v>
      </c>
      <c r="D10" s="9" t="s">
        <v>71</v>
      </c>
      <c r="E10" s="9">
        <v>2019.0</v>
      </c>
      <c r="F10" s="9" t="s">
        <v>93</v>
      </c>
      <c r="G10" s="9" t="s">
        <v>120</v>
      </c>
      <c r="H10" s="9" t="s">
        <v>121</v>
      </c>
      <c r="I10" s="12">
        <v>34900.0</v>
      </c>
      <c r="J10" s="13">
        <f>IF(B10="","",SUMIF(Despesas!$A:$A,A10,Despesas!$F:$F))</f>
        <v>2322</v>
      </c>
      <c r="K10" s="13">
        <f t="shared" si="1"/>
        <v>37222</v>
      </c>
      <c r="L10" s="21">
        <v>53937.0</v>
      </c>
      <c r="M10" s="9" t="s">
        <v>114</v>
      </c>
      <c r="N10" s="9" t="s">
        <v>114</v>
      </c>
      <c r="O10" s="8"/>
      <c r="P10" s="4"/>
      <c r="Q10" s="8"/>
      <c r="R10" s="4"/>
      <c r="S10" s="8"/>
      <c r="T10" s="13" t="str">
        <f t="shared" si="4"/>
        <v/>
      </c>
      <c r="U10" s="8" t="s">
        <v>116</v>
      </c>
    </row>
    <row r="11">
      <c r="A11" s="10">
        <v>7.0</v>
      </c>
      <c r="B11" s="6">
        <v>46297.0</v>
      </c>
      <c r="C11" s="9" t="s">
        <v>125</v>
      </c>
      <c r="D11" s="9" t="s">
        <v>74</v>
      </c>
      <c r="E11" s="9">
        <v>2008.0</v>
      </c>
      <c r="F11" s="9" t="s">
        <v>124</v>
      </c>
      <c r="G11" s="9"/>
      <c r="H11" s="9" t="s">
        <v>127</v>
      </c>
      <c r="I11" s="12">
        <v>18000.0</v>
      </c>
      <c r="J11" s="13">
        <f>IF(B11="","",SUMIF(Despesas!$A:$A,A11,Despesas!$F:$F))</f>
        <v>0</v>
      </c>
      <c r="K11" s="13">
        <f t="shared" si="1"/>
        <v>18000</v>
      </c>
      <c r="L11" s="21">
        <v>29900.0</v>
      </c>
      <c r="M11" s="18">
        <v>46298.0</v>
      </c>
      <c r="N11" s="9" t="s">
        <v>131</v>
      </c>
      <c r="O11" s="12">
        <v>47000.0</v>
      </c>
      <c r="P11" s="9" t="s">
        <v>81</v>
      </c>
      <c r="Q11" s="12">
        <v>11000.0</v>
      </c>
      <c r="R11" s="9">
        <v>36.0</v>
      </c>
      <c r="S11" s="12">
        <v>1000.0</v>
      </c>
      <c r="T11" s="13">
        <f t="shared" si="4"/>
        <v>29000</v>
      </c>
      <c r="U11" s="8" t="str">
        <f t="shared" ref="U11:U48" si="5">IF(B11="","",IF(M11="","Em estoque","Vendido"))</f>
        <v>Vendido</v>
      </c>
    </row>
    <row r="12">
      <c r="A12" s="10">
        <v>8.0</v>
      </c>
      <c r="B12" s="6">
        <v>46298.0</v>
      </c>
      <c r="C12" s="9" t="s">
        <v>129</v>
      </c>
      <c r="D12" s="9" t="s">
        <v>76</v>
      </c>
      <c r="E12" s="9">
        <v>2018.0</v>
      </c>
      <c r="F12" s="9" t="s">
        <v>128</v>
      </c>
      <c r="G12" s="9" t="s">
        <v>120</v>
      </c>
      <c r="H12" s="9" t="s">
        <v>132</v>
      </c>
      <c r="I12" s="12">
        <v>11000.0</v>
      </c>
      <c r="J12" s="13">
        <f>IF(B12="","",SUMIF(Despesas!$A:$A,A12,Despesas!$F:$F))</f>
        <v>0</v>
      </c>
      <c r="K12" s="13">
        <f t="shared" si="1"/>
        <v>11000</v>
      </c>
      <c r="L12" s="21">
        <v>16900.0</v>
      </c>
      <c r="M12" s="6"/>
      <c r="N12" s="4"/>
      <c r="O12" s="8"/>
      <c r="P12" s="4"/>
      <c r="Q12" s="8"/>
      <c r="R12" s="4"/>
      <c r="S12" s="8"/>
      <c r="T12" s="13"/>
      <c r="U12" s="8" t="str">
        <f t="shared" si="5"/>
        <v>Em estoque</v>
      </c>
    </row>
    <row r="13">
      <c r="A13" s="5" t="str">
        <f t="shared" ref="A13:A48" si="6">IF(B13="","",ROW()-4)</f>
        <v/>
      </c>
      <c r="B13" s="18"/>
      <c r="C13" s="4"/>
      <c r="D13" s="4"/>
      <c r="E13" s="4"/>
      <c r="F13" s="4"/>
      <c r="G13" s="4"/>
      <c r="H13" s="4"/>
      <c r="I13" s="8"/>
      <c r="J13" s="13" t="str">
        <f>IF(B13="","",SUMIF(Despesas!$A:$A,A13,Despesas!$F:$F))</f>
        <v/>
      </c>
      <c r="K13" s="13" t="str">
        <f t="shared" si="1"/>
        <v/>
      </c>
      <c r="L13" s="15"/>
      <c r="M13" s="6"/>
      <c r="N13" s="4"/>
      <c r="O13" s="8"/>
      <c r="P13" s="4"/>
      <c r="Q13" s="8"/>
      <c r="R13" s="4"/>
      <c r="S13" s="8"/>
      <c r="T13" s="13" t="str">
        <f>IF(O13="","",(O13-K52))</f>
        <v/>
      </c>
      <c r="U13" s="8" t="str">
        <f t="shared" si="5"/>
        <v/>
      </c>
    </row>
    <row r="14">
      <c r="A14" s="5" t="str">
        <f t="shared" si="6"/>
        <v/>
      </c>
      <c r="B14" s="6"/>
      <c r="C14" s="4"/>
      <c r="D14" s="4"/>
      <c r="E14" s="4"/>
      <c r="F14" s="4"/>
      <c r="G14" s="4"/>
      <c r="H14" s="4"/>
      <c r="I14" s="8"/>
      <c r="J14" s="13" t="str">
        <f>IF(B14="","",SUMIF(Despesas!$A:$A,A14,Despesas!$F:$F))</f>
        <v/>
      </c>
      <c r="K14" s="13" t="str">
        <f t="shared" si="1"/>
        <v/>
      </c>
      <c r="L14" s="15"/>
      <c r="M14" s="6"/>
      <c r="N14" s="4"/>
      <c r="O14" s="8"/>
      <c r="P14" s="4"/>
      <c r="Q14" s="8"/>
      <c r="R14" s="4"/>
      <c r="S14" s="8"/>
      <c r="T14" s="13" t="str">
        <f t="shared" ref="T14:T48" si="7">IF(O14="","",(O14-K14))</f>
        <v/>
      </c>
      <c r="U14" s="8" t="str">
        <f t="shared" si="5"/>
        <v/>
      </c>
    </row>
    <row r="15">
      <c r="A15" s="5" t="str">
        <f t="shared" si="6"/>
        <v/>
      </c>
      <c r="B15" s="6"/>
      <c r="C15" s="4"/>
      <c r="D15" s="4"/>
      <c r="E15" s="4"/>
      <c r="F15" s="4"/>
      <c r="G15" s="4"/>
      <c r="H15" s="4"/>
      <c r="I15" s="8"/>
      <c r="J15" s="13" t="str">
        <f>IF(B15="","",SUMIF(Despesas!$A:$A,A15,Despesas!$F:$F))</f>
        <v/>
      </c>
      <c r="K15" s="13" t="str">
        <f t="shared" si="1"/>
        <v/>
      </c>
      <c r="L15" s="15"/>
      <c r="M15" s="6"/>
      <c r="N15" s="4"/>
      <c r="O15" s="8"/>
      <c r="P15" s="4"/>
      <c r="Q15" s="8"/>
      <c r="R15" s="4"/>
      <c r="S15" s="8"/>
      <c r="T15" s="13" t="str">
        <f t="shared" si="7"/>
        <v/>
      </c>
      <c r="U15" s="8" t="str">
        <f t="shared" si="5"/>
        <v/>
      </c>
    </row>
    <row r="16">
      <c r="A16" s="5" t="str">
        <f t="shared" si="6"/>
        <v/>
      </c>
      <c r="B16" s="6"/>
      <c r="C16" s="4"/>
      <c r="D16" s="4"/>
      <c r="E16" s="4"/>
      <c r="F16" s="4"/>
      <c r="G16" s="4"/>
      <c r="H16" s="4"/>
      <c r="I16" s="8"/>
      <c r="J16" s="13" t="str">
        <f>IF(B16="","",SUMIF(Despesas!$A:$A,A16,Despesas!$F:$F))</f>
        <v/>
      </c>
      <c r="K16" s="13" t="str">
        <f t="shared" si="1"/>
        <v/>
      </c>
      <c r="L16" s="15"/>
      <c r="M16" s="6"/>
      <c r="N16" s="4"/>
      <c r="O16" s="8"/>
      <c r="P16" s="4"/>
      <c r="Q16" s="8"/>
      <c r="R16" s="4"/>
      <c r="S16" s="8"/>
      <c r="T16" s="13" t="str">
        <f t="shared" si="7"/>
        <v/>
      </c>
      <c r="U16" s="8" t="str">
        <f t="shared" si="5"/>
        <v/>
      </c>
    </row>
    <row r="17">
      <c r="A17" s="5" t="str">
        <f t="shared" si="6"/>
        <v/>
      </c>
      <c r="B17" s="6"/>
      <c r="C17" s="4"/>
      <c r="D17" s="4"/>
      <c r="E17" s="4"/>
      <c r="F17" s="4"/>
      <c r="G17" s="4"/>
      <c r="H17" s="4"/>
      <c r="I17" s="8"/>
      <c r="J17" s="13" t="str">
        <f>IF(B17="","",SUMIF(Despesas!$A:$A,A17,Despesas!$F:$F))</f>
        <v/>
      </c>
      <c r="K17" s="13" t="str">
        <f t="shared" si="1"/>
        <v/>
      </c>
      <c r="L17" s="15"/>
      <c r="M17" s="6"/>
      <c r="N17" s="4"/>
      <c r="O17" s="8"/>
      <c r="P17" s="4"/>
      <c r="Q17" s="8"/>
      <c r="R17" s="4"/>
      <c r="S17" s="8"/>
      <c r="T17" s="13" t="str">
        <f t="shared" si="7"/>
        <v/>
      </c>
      <c r="U17" s="8" t="str">
        <f t="shared" si="5"/>
        <v/>
      </c>
    </row>
    <row r="18">
      <c r="A18" s="5" t="str">
        <f t="shared" si="6"/>
        <v/>
      </c>
      <c r="B18" s="6"/>
      <c r="C18" s="4"/>
      <c r="D18" s="4"/>
      <c r="E18" s="4"/>
      <c r="F18" s="4"/>
      <c r="G18" s="4"/>
      <c r="H18" s="4"/>
      <c r="I18" s="8"/>
      <c r="J18" s="13" t="str">
        <f>IF(B18="","",SUMIF(Despesas!$A:$A,A18,Despesas!$F:$F))</f>
        <v/>
      </c>
      <c r="K18" s="13" t="str">
        <f t="shared" si="1"/>
        <v/>
      </c>
      <c r="L18" s="15"/>
      <c r="M18" s="6"/>
      <c r="N18" s="4"/>
      <c r="O18" s="8"/>
      <c r="P18" s="4"/>
      <c r="Q18" s="8"/>
      <c r="R18" s="4"/>
      <c r="S18" s="8"/>
      <c r="T18" s="13" t="str">
        <f t="shared" si="7"/>
        <v/>
      </c>
      <c r="U18" s="8" t="str">
        <f t="shared" si="5"/>
        <v/>
      </c>
    </row>
    <row r="19">
      <c r="A19" s="5" t="str">
        <f t="shared" si="6"/>
        <v/>
      </c>
      <c r="B19" s="6"/>
      <c r="C19" s="4"/>
      <c r="D19" s="4"/>
      <c r="E19" s="4"/>
      <c r="F19" s="4"/>
      <c r="G19" s="4"/>
      <c r="H19" s="4"/>
      <c r="I19" s="8"/>
      <c r="J19" s="13" t="str">
        <f>IF(B19="","",SUMIF(Despesas!$A:$A,A19,Despesas!$F:$F))</f>
        <v/>
      </c>
      <c r="K19" s="13" t="str">
        <f t="shared" si="1"/>
        <v/>
      </c>
      <c r="L19" s="15"/>
      <c r="M19" s="6"/>
      <c r="N19" s="4"/>
      <c r="O19" s="8"/>
      <c r="P19" s="4"/>
      <c r="Q19" s="8"/>
      <c r="R19" s="4"/>
      <c r="S19" s="8"/>
      <c r="T19" s="13" t="str">
        <f t="shared" si="7"/>
        <v/>
      </c>
      <c r="U19" s="8" t="str">
        <f t="shared" si="5"/>
        <v/>
      </c>
    </row>
    <row r="20">
      <c r="A20" s="5" t="str">
        <f t="shared" si="6"/>
        <v/>
      </c>
      <c r="B20" s="6"/>
      <c r="C20" s="4"/>
      <c r="D20" s="4"/>
      <c r="E20" s="4"/>
      <c r="F20" s="4"/>
      <c r="G20" s="4"/>
      <c r="H20" s="4"/>
      <c r="I20" s="8"/>
      <c r="J20" s="13" t="str">
        <f>IF(B20="","",SUMIF(Despesas!$A:$A,A20,Despesas!$F:$F))</f>
        <v/>
      </c>
      <c r="K20" s="13" t="str">
        <f t="shared" si="1"/>
        <v/>
      </c>
      <c r="L20" s="15"/>
      <c r="M20" s="6"/>
      <c r="N20" s="4"/>
      <c r="O20" s="8"/>
      <c r="P20" s="4"/>
      <c r="Q20" s="8"/>
      <c r="R20" s="4"/>
      <c r="S20" s="8"/>
      <c r="T20" s="13" t="str">
        <f t="shared" si="7"/>
        <v/>
      </c>
      <c r="U20" s="8" t="str">
        <f t="shared" si="5"/>
        <v/>
      </c>
    </row>
    <row r="21" ht="15.75" customHeight="1">
      <c r="A21" s="5" t="str">
        <f t="shared" si="6"/>
        <v/>
      </c>
      <c r="B21" s="6"/>
      <c r="C21" s="4"/>
      <c r="D21" s="4"/>
      <c r="E21" s="4"/>
      <c r="F21" s="4"/>
      <c r="G21" s="4"/>
      <c r="H21" s="4"/>
      <c r="I21" s="8"/>
      <c r="J21" s="13" t="str">
        <f>IF(B21="","",SUMIF(Despesas!$A:$A,A21,Despesas!$F:$F))</f>
        <v/>
      </c>
      <c r="K21" s="13" t="str">
        <f t="shared" si="1"/>
        <v/>
      </c>
      <c r="L21" s="15"/>
      <c r="M21" s="6"/>
      <c r="N21" s="4"/>
      <c r="O21" s="8"/>
      <c r="P21" s="4"/>
      <c r="Q21" s="8"/>
      <c r="R21" s="4"/>
      <c r="S21" s="8"/>
      <c r="T21" s="13" t="str">
        <f t="shared" si="7"/>
        <v/>
      </c>
      <c r="U21" s="8" t="str">
        <f t="shared" si="5"/>
        <v/>
      </c>
    </row>
    <row r="22" ht="15.75" customHeight="1">
      <c r="A22" s="5" t="str">
        <f t="shared" si="6"/>
        <v/>
      </c>
      <c r="B22" s="6"/>
      <c r="C22" s="4"/>
      <c r="D22" s="4"/>
      <c r="E22" s="4"/>
      <c r="F22" s="4"/>
      <c r="G22" s="4"/>
      <c r="H22" s="4"/>
      <c r="I22" s="8"/>
      <c r="J22" s="13" t="str">
        <f>IF(B22="","",SUMIF(Despesas!$A:$A,A22,Despesas!$F:$F))</f>
        <v/>
      </c>
      <c r="K22" s="13" t="str">
        <f t="shared" si="1"/>
        <v/>
      </c>
      <c r="L22" s="15"/>
      <c r="M22" s="6"/>
      <c r="N22" s="4"/>
      <c r="O22" s="8"/>
      <c r="P22" s="4"/>
      <c r="Q22" s="8"/>
      <c r="R22" s="4"/>
      <c r="S22" s="8"/>
      <c r="T22" s="13" t="str">
        <f t="shared" si="7"/>
        <v/>
      </c>
      <c r="U22" s="8" t="str">
        <f t="shared" si="5"/>
        <v/>
      </c>
    </row>
    <row r="23" ht="15.75" customHeight="1">
      <c r="A23" s="5" t="str">
        <f t="shared" si="6"/>
        <v/>
      </c>
      <c r="B23" s="6"/>
      <c r="C23" s="4"/>
      <c r="D23" s="4"/>
      <c r="E23" s="4"/>
      <c r="F23" s="4"/>
      <c r="G23" s="4"/>
      <c r="H23" s="4"/>
      <c r="I23" s="8"/>
      <c r="J23" s="13" t="str">
        <f>IF(B23="","",SUMIF(Despesas!$A:$A,A23,Despesas!$F:$F))</f>
        <v/>
      </c>
      <c r="K23" s="13" t="str">
        <f t="shared" si="1"/>
        <v/>
      </c>
      <c r="L23" s="15"/>
      <c r="M23" s="6"/>
      <c r="N23" s="4"/>
      <c r="O23" s="8"/>
      <c r="P23" s="4"/>
      <c r="Q23" s="8"/>
      <c r="R23" s="4"/>
      <c r="S23" s="8"/>
      <c r="T23" s="13" t="str">
        <f t="shared" si="7"/>
        <v/>
      </c>
      <c r="U23" s="8" t="str">
        <f t="shared" si="5"/>
        <v/>
      </c>
    </row>
    <row r="24" ht="15.75" customHeight="1">
      <c r="A24" s="5" t="str">
        <f t="shared" si="6"/>
        <v/>
      </c>
      <c r="B24" s="6"/>
      <c r="C24" s="4"/>
      <c r="D24" s="4"/>
      <c r="E24" s="4"/>
      <c r="F24" s="4"/>
      <c r="G24" s="4"/>
      <c r="H24" s="4"/>
      <c r="I24" s="8"/>
      <c r="J24" s="13" t="str">
        <f>IF(B24="","",SUMIF(Despesas!$A:$A,A24,Despesas!$F:$F))</f>
        <v/>
      </c>
      <c r="K24" s="13" t="str">
        <f t="shared" si="1"/>
        <v/>
      </c>
      <c r="L24" s="15"/>
      <c r="M24" s="6"/>
      <c r="N24" s="4"/>
      <c r="O24" s="8"/>
      <c r="P24" s="4"/>
      <c r="Q24" s="8"/>
      <c r="R24" s="4"/>
      <c r="S24" s="8"/>
      <c r="T24" s="13" t="str">
        <f t="shared" si="7"/>
        <v/>
      </c>
      <c r="U24" s="8" t="str">
        <f t="shared" si="5"/>
        <v/>
      </c>
    </row>
    <row r="25" ht="15.75" customHeight="1">
      <c r="A25" s="5" t="str">
        <f t="shared" si="6"/>
        <v/>
      </c>
      <c r="B25" s="6"/>
      <c r="C25" s="4"/>
      <c r="D25" s="4"/>
      <c r="E25" s="4"/>
      <c r="F25" s="4"/>
      <c r="G25" s="4"/>
      <c r="H25" s="4"/>
      <c r="I25" s="8"/>
      <c r="J25" s="13" t="str">
        <f>IF(B25="","",SUMIF(Despesas!$A:$A,A25,Despesas!$F:$F))</f>
        <v/>
      </c>
      <c r="K25" s="13" t="str">
        <f t="shared" si="1"/>
        <v/>
      </c>
      <c r="L25" s="15"/>
      <c r="M25" s="6"/>
      <c r="N25" s="4"/>
      <c r="O25" s="8"/>
      <c r="P25" s="4"/>
      <c r="Q25" s="8"/>
      <c r="R25" s="4"/>
      <c r="S25" s="8"/>
      <c r="T25" s="13" t="str">
        <f t="shared" si="7"/>
        <v/>
      </c>
      <c r="U25" s="8" t="str">
        <f t="shared" si="5"/>
        <v/>
      </c>
    </row>
    <row r="26" ht="15.75" customHeight="1">
      <c r="A26" s="5" t="str">
        <f t="shared" si="6"/>
        <v/>
      </c>
      <c r="B26" s="6"/>
      <c r="C26" s="4"/>
      <c r="D26" s="9"/>
      <c r="E26" s="4"/>
      <c r="F26" s="4"/>
      <c r="G26" s="4"/>
      <c r="H26" s="4"/>
      <c r="I26" s="8"/>
      <c r="J26" s="13" t="str">
        <f>IF(B26="","",SUMIF(Despesas!$A:$A,A26,Despesas!$F:$F))</f>
        <v/>
      </c>
      <c r="K26" s="13" t="str">
        <f t="shared" si="1"/>
        <v/>
      </c>
      <c r="L26" s="15"/>
      <c r="M26" s="6"/>
      <c r="N26" s="4"/>
      <c r="O26" s="8"/>
      <c r="P26" s="4"/>
      <c r="Q26" s="8"/>
      <c r="R26" s="4"/>
      <c r="S26" s="8"/>
      <c r="T26" s="13" t="str">
        <f t="shared" si="7"/>
        <v/>
      </c>
      <c r="U26" s="8" t="str">
        <f t="shared" si="5"/>
        <v/>
      </c>
    </row>
    <row r="27" ht="15.75" customHeight="1">
      <c r="A27" s="5" t="str">
        <f t="shared" si="6"/>
        <v/>
      </c>
      <c r="B27" s="6"/>
      <c r="C27" s="4"/>
      <c r="D27" s="4"/>
      <c r="E27" s="4"/>
      <c r="F27" s="4"/>
      <c r="G27" s="4"/>
      <c r="H27" s="4"/>
      <c r="I27" s="8"/>
      <c r="J27" s="13" t="str">
        <f>IF(B27="","",SUMIF(Despesas!$A:$A,A27,Despesas!$F:$F))</f>
        <v/>
      </c>
      <c r="K27" s="13" t="str">
        <f t="shared" si="1"/>
        <v/>
      </c>
      <c r="L27" s="15"/>
      <c r="M27" s="6"/>
      <c r="N27" s="4"/>
      <c r="O27" s="8"/>
      <c r="P27" s="4"/>
      <c r="Q27" s="8"/>
      <c r="R27" s="4"/>
      <c r="S27" s="8"/>
      <c r="T27" s="13" t="str">
        <f t="shared" si="7"/>
        <v/>
      </c>
      <c r="U27" s="8" t="str">
        <f t="shared" si="5"/>
        <v/>
      </c>
    </row>
    <row r="28" ht="15.75" customHeight="1">
      <c r="A28" s="5" t="str">
        <f t="shared" si="6"/>
        <v/>
      </c>
      <c r="B28" s="6"/>
      <c r="C28" s="4"/>
      <c r="D28" s="4"/>
      <c r="E28" s="4"/>
      <c r="F28" s="4"/>
      <c r="G28" s="4"/>
      <c r="H28" s="4"/>
      <c r="I28" s="8"/>
      <c r="J28" s="13" t="str">
        <f>IF(B28="","",SUMIF(Despesas!$A:$A,A28,Despesas!$F:$F))</f>
        <v/>
      </c>
      <c r="K28" s="13" t="str">
        <f t="shared" si="1"/>
        <v/>
      </c>
      <c r="L28" s="15"/>
      <c r="M28" s="6"/>
      <c r="N28" s="4"/>
      <c r="O28" s="8"/>
      <c r="P28" s="4"/>
      <c r="Q28" s="8"/>
      <c r="R28" s="4"/>
      <c r="S28" s="8"/>
      <c r="T28" s="13" t="str">
        <f t="shared" si="7"/>
        <v/>
      </c>
      <c r="U28" s="8" t="str">
        <f t="shared" si="5"/>
        <v/>
      </c>
    </row>
    <row r="29" ht="15.75" customHeight="1">
      <c r="A29" s="5" t="str">
        <f t="shared" si="6"/>
        <v/>
      </c>
      <c r="B29" s="6"/>
      <c r="C29" s="4"/>
      <c r="D29" s="4"/>
      <c r="E29" s="4"/>
      <c r="F29" s="4"/>
      <c r="G29" s="4"/>
      <c r="H29" s="4"/>
      <c r="I29" s="8"/>
      <c r="J29" s="13" t="str">
        <f>IF(B29="","",SUMIF(Despesas!$A:$A,A29,Despesas!$F:$F))</f>
        <v/>
      </c>
      <c r="K29" s="13" t="str">
        <f t="shared" si="1"/>
        <v/>
      </c>
      <c r="L29" s="15"/>
      <c r="M29" s="6"/>
      <c r="N29" s="4"/>
      <c r="O29" s="8"/>
      <c r="P29" s="4"/>
      <c r="Q29" s="8"/>
      <c r="R29" s="4"/>
      <c r="S29" s="8"/>
      <c r="T29" s="13" t="str">
        <f t="shared" si="7"/>
        <v/>
      </c>
      <c r="U29" s="8" t="str">
        <f t="shared" si="5"/>
        <v/>
      </c>
    </row>
    <row r="30" ht="15.75" customHeight="1">
      <c r="A30" s="5" t="str">
        <f t="shared" si="6"/>
        <v/>
      </c>
      <c r="B30" s="6"/>
      <c r="C30" s="4"/>
      <c r="D30" s="4"/>
      <c r="E30" s="4"/>
      <c r="F30" s="4"/>
      <c r="G30" s="4"/>
      <c r="H30" s="4"/>
      <c r="I30" s="8"/>
      <c r="J30" s="13" t="str">
        <f>IF(B30="","",SUMIF(Despesas!$A:$A,A30,Despesas!$F:$F))</f>
        <v/>
      </c>
      <c r="K30" s="13" t="str">
        <f t="shared" si="1"/>
        <v/>
      </c>
      <c r="L30" s="15"/>
      <c r="M30" s="6"/>
      <c r="N30" s="4"/>
      <c r="O30" s="8"/>
      <c r="P30" s="4"/>
      <c r="Q30" s="8"/>
      <c r="R30" s="4"/>
      <c r="S30" s="8"/>
      <c r="T30" s="13" t="str">
        <f t="shared" si="7"/>
        <v/>
      </c>
      <c r="U30" s="8" t="str">
        <f t="shared" si="5"/>
        <v/>
      </c>
    </row>
    <row r="31" ht="15.75" customHeight="1">
      <c r="A31" s="5" t="str">
        <f t="shared" si="6"/>
        <v/>
      </c>
      <c r="B31" s="6"/>
      <c r="C31" s="4"/>
      <c r="D31" s="4"/>
      <c r="E31" s="4"/>
      <c r="F31" s="4"/>
      <c r="G31" s="4"/>
      <c r="H31" s="4"/>
      <c r="I31" s="8"/>
      <c r="J31" s="13" t="str">
        <f>IF(B31="","",SUMIF(Despesas!$A:$A,A31,Despesas!$F:$F))</f>
        <v/>
      </c>
      <c r="K31" s="13" t="str">
        <f t="shared" si="1"/>
        <v/>
      </c>
      <c r="L31" s="15"/>
      <c r="M31" s="6"/>
      <c r="N31" s="4"/>
      <c r="O31" s="8"/>
      <c r="P31" s="4"/>
      <c r="Q31" s="8"/>
      <c r="R31" s="4"/>
      <c r="S31" s="8"/>
      <c r="T31" s="13" t="str">
        <f t="shared" si="7"/>
        <v/>
      </c>
      <c r="U31" s="8" t="str">
        <f t="shared" si="5"/>
        <v/>
      </c>
    </row>
    <row r="32" ht="15.75" customHeight="1">
      <c r="A32" s="5" t="str">
        <f t="shared" si="6"/>
        <v/>
      </c>
      <c r="B32" s="6"/>
      <c r="C32" s="4"/>
      <c r="D32" s="4"/>
      <c r="E32" s="4"/>
      <c r="F32" s="4"/>
      <c r="G32" s="4"/>
      <c r="H32" s="4"/>
      <c r="I32" s="8"/>
      <c r="J32" s="13" t="str">
        <f>IF(B32="","",SUMIF(Despesas!$A:$A,A32,Despesas!$F:$F))</f>
        <v/>
      </c>
      <c r="K32" s="13" t="str">
        <f t="shared" si="1"/>
        <v/>
      </c>
      <c r="L32" s="15"/>
      <c r="M32" s="6"/>
      <c r="N32" s="4"/>
      <c r="O32" s="8"/>
      <c r="P32" s="4"/>
      <c r="Q32" s="8"/>
      <c r="R32" s="4"/>
      <c r="S32" s="8"/>
      <c r="T32" s="13" t="str">
        <f t="shared" si="7"/>
        <v/>
      </c>
      <c r="U32" s="8" t="str">
        <f t="shared" si="5"/>
        <v/>
      </c>
    </row>
    <row r="33" ht="15.75" customHeight="1">
      <c r="A33" s="5" t="str">
        <f t="shared" si="6"/>
        <v/>
      </c>
      <c r="B33" s="6"/>
      <c r="C33" s="4"/>
      <c r="D33" s="4"/>
      <c r="E33" s="4"/>
      <c r="F33" s="4"/>
      <c r="G33" s="4"/>
      <c r="H33" s="4"/>
      <c r="I33" s="8"/>
      <c r="J33" s="13" t="str">
        <f>IF(B33="","",SUMIF(Despesas!$A:$A,A33,Despesas!$F:$F))</f>
        <v/>
      </c>
      <c r="K33" s="13" t="str">
        <f t="shared" si="1"/>
        <v/>
      </c>
      <c r="L33" s="15"/>
      <c r="M33" s="6"/>
      <c r="N33" s="4"/>
      <c r="O33" s="8"/>
      <c r="P33" s="4"/>
      <c r="Q33" s="8"/>
      <c r="R33" s="4"/>
      <c r="S33" s="8"/>
      <c r="T33" s="13" t="str">
        <f t="shared" si="7"/>
        <v/>
      </c>
      <c r="U33" s="8" t="str">
        <f t="shared" si="5"/>
        <v/>
      </c>
    </row>
    <row r="34" ht="15.75" customHeight="1">
      <c r="A34" s="5" t="str">
        <f t="shared" si="6"/>
        <v/>
      </c>
      <c r="B34" s="6"/>
      <c r="C34" s="4"/>
      <c r="D34" s="4"/>
      <c r="E34" s="4"/>
      <c r="F34" s="4"/>
      <c r="G34" s="4"/>
      <c r="H34" s="4"/>
      <c r="I34" s="8"/>
      <c r="J34" s="13" t="str">
        <f>IF(B34="","",SUMIF(Despesas!$A:$A,A34,Despesas!$F:$F))</f>
        <v/>
      </c>
      <c r="K34" s="13" t="str">
        <f t="shared" si="1"/>
        <v/>
      </c>
      <c r="L34" s="15"/>
      <c r="M34" s="6"/>
      <c r="N34" s="4"/>
      <c r="O34" s="8"/>
      <c r="P34" s="4"/>
      <c r="Q34" s="8"/>
      <c r="R34" s="4"/>
      <c r="S34" s="8"/>
      <c r="T34" s="13" t="str">
        <f t="shared" si="7"/>
        <v/>
      </c>
      <c r="U34" s="8" t="str">
        <f t="shared" si="5"/>
        <v/>
      </c>
    </row>
    <row r="35" ht="15.75" customHeight="1">
      <c r="A35" s="5" t="str">
        <f t="shared" si="6"/>
        <v/>
      </c>
      <c r="B35" s="6"/>
      <c r="C35" s="4"/>
      <c r="D35" s="4"/>
      <c r="E35" s="4"/>
      <c r="F35" s="4"/>
      <c r="G35" s="4"/>
      <c r="H35" s="4"/>
      <c r="I35" s="8"/>
      <c r="J35" s="13" t="str">
        <f>IF(B35="","",SUMIF(Despesas!$A:$A,A35,Despesas!$F:$F))</f>
        <v/>
      </c>
      <c r="K35" s="13" t="str">
        <f t="shared" si="1"/>
        <v/>
      </c>
      <c r="L35" s="15"/>
      <c r="M35" s="6"/>
      <c r="N35" s="4"/>
      <c r="O35" s="8"/>
      <c r="P35" s="4"/>
      <c r="Q35" s="8"/>
      <c r="R35" s="4"/>
      <c r="S35" s="8"/>
      <c r="T35" s="13" t="str">
        <f t="shared" si="7"/>
        <v/>
      </c>
      <c r="U35" s="8" t="str">
        <f t="shared" si="5"/>
        <v/>
      </c>
    </row>
    <row r="36" ht="15.75" customHeight="1">
      <c r="A36" s="5" t="str">
        <f t="shared" si="6"/>
        <v/>
      </c>
      <c r="B36" s="6"/>
      <c r="C36" s="4"/>
      <c r="D36" s="4"/>
      <c r="E36" s="4"/>
      <c r="F36" s="4"/>
      <c r="G36" s="4"/>
      <c r="H36" s="4"/>
      <c r="I36" s="8"/>
      <c r="J36" s="13" t="str">
        <f>IF(B36="","",SUMIF(Despesas!$A:$A,A36,Despesas!$F:$F))</f>
        <v/>
      </c>
      <c r="K36" s="13" t="str">
        <f t="shared" si="1"/>
        <v/>
      </c>
      <c r="L36" s="15"/>
      <c r="M36" s="6"/>
      <c r="N36" s="4"/>
      <c r="O36" s="8"/>
      <c r="P36" s="4"/>
      <c r="Q36" s="8"/>
      <c r="R36" s="4"/>
      <c r="S36" s="8"/>
      <c r="T36" s="13" t="str">
        <f t="shared" si="7"/>
        <v/>
      </c>
      <c r="U36" s="8" t="str">
        <f t="shared" si="5"/>
        <v/>
      </c>
    </row>
    <row r="37" ht="15.75" customHeight="1">
      <c r="A37" s="5" t="str">
        <f t="shared" si="6"/>
        <v/>
      </c>
      <c r="B37" s="6"/>
      <c r="C37" s="4"/>
      <c r="D37" s="9"/>
      <c r="E37" s="4"/>
      <c r="F37" s="4"/>
      <c r="G37" s="4"/>
      <c r="H37" s="4"/>
      <c r="I37" s="8"/>
      <c r="J37" s="13" t="str">
        <f>IF(B37="","",SUMIF(Despesas!$A:$A,A37,Despesas!$F:$F))</f>
        <v/>
      </c>
      <c r="K37" s="13" t="str">
        <f t="shared" si="1"/>
        <v/>
      </c>
      <c r="L37" s="15"/>
      <c r="M37" s="6"/>
      <c r="N37" s="4"/>
      <c r="O37" s="8"/>
      <c r="P37" s="4"/>
      <c r="Q37" s="8"/>
      <c r="R37" s="4"/>
      <c r="S37" s="8"/>
      <c r="T37" s="13" t="str">
        <f t="shared" si="7"/>
        <v/>
      </c>
      <c r="U37" s="8" t="str">
        <f t="shared" si="5"/>
        <v/>
      </c>
    </row>
    <row r="38" ht="15.75" customHeight="1">
      <c r="A38" s="5" t="str">
        <f t="shared" si="6"/>
        <v/>
      </c>
      <c r="B38" s="6"/>
      <c r="C38" s="4"/>
      <c r="D38" s="4"/>
      <c r="E38" s="4"/>
      <c r="F38" s="4"/>
      <c r="G38" s="4"/>
      <c r="H38" s="4"/>
      <c r="I38" s="8"/>
      <c r="J38" s="13" t="str">
        <f>IF(B38="","",SUMIF(Despesas!$A:$A,A38,Despesas!$F:$F))</f>
        <v/>
      </c>
      <c r="K38" s="13" t="str">
        <f t="shared" si="1"/>
        <v/>
      </c>
      <c r="L38" s="15"/>
      <c r="M38" s="6"/>
      <c r="N38" s="4"/>
      <c r="O38" s="8"/>
      <c r="P38" s="4"/>
      <c r="Q38" s="8"/>
      <c r="R38" s="4"/>
      <c r="S38" s="8"/>
      <c r="T38" s="13" t="str">
        <f t="shared" si="7"/>
        <v/>
      </c>
      <c r="U38" s="8" t="str">
        <f t="shared" si="5"/>
        <v/>
      </c>
    </row>
    <row r="39" ht="15.75" customHeight="1">
      <c r="A39" s="5" t="str">
        <f t="shared" si="6"/>
        <v/>
      </c>
      <c r="B39" s="6"/>
      <c r="C39" s="4"/>
      <c r="D39" s="4"/>
      <c r="E39" s="4"/>
      <c r="F39" s="4"/>
      <c r="G39" s="4"/>
      <c r="H39" s="4"/>
      <c r="I39" s="8"/>
      <c r="J39" s="13" t="str">
        <f>IF(B39="","",SUMIF(Despesas!$A:$A,A39,Despesas!$F:$F))</f>
        <v/>
      </c>
      <c r="K39" s="13" t="str">
        <f t="shared" si="1"/>
        <v/>
      </c>
      <c r="L39" s="15"/>
      <c r="M39" s="6"/>
      <c r="N39" s="4"/>
      <c r="O39" s="8"/>
      <c r="P39" s="4"/>
      <c r="Q39" s="8"/>
      <c r="R39" s="4"/>
      <c r="S39" s="8"/>
      <c r="T39" s="13" t="str">
        <f t="shared" si="7"/>
        <v/>
      </c>
      <c r="U39" s="8" t="str">
        <f t="shared" si="5"/>
        <v/>
      </c>
    </row>
    <row r="40" ht="15.75" customHeight="1">
      <c r="A40" s="5" t="str">
        <f t="shared" si="6"/>
        <v/>
      </c>
      <c r="B40" s="6"/>
      <c r="C40" s="4"/>
      <c r="D40" s="4"/>
      <c r="E40" s="4"/>
      <c r="F40" s="4"/>
      <c r="G40" s="4"/>
      <c r="H40" s="4"/>
      <c r="I40" s="8"/>
      <c r="J40" s="13" t="str">
        <f>IF(B40="","",SUMIF(Despesas!$A:$A,A40,Despesas!$F:$F))</f>
        <v/>
      </c>
      <c r="K40" s="13" t="str">
        <f t="shared" si="1"/>
        <v/>
      </c>
      <c r="L40" s="15"/>
      <c r="M40" s="6"/>
      <c r="N40" s="4"/>
      <c r="O40" s="8"/>
      <c r="P40" s="4"/>
      <c r="Q40" s="8"/>
      <c r="R40" s="4"/>
      <c r="S40" s="8"/>
      <c r="T40" s="13" t="str">
        <f t="shared" si="7"/>
        <v/>
      </c>
      <c r="U40" s="8" t="str">
        <f t="shared" si="5"/>
        <v/>
      </c>
    </row>
    <row r="41" ht="15.75" customHeight="1">
      <c r="A41" s="5" t="str">
        <f t="shared" si="6"/>
        <v/>
      </c>
      <c r="B41" s="6"/>
      <c r="C41" s="4"/>
      <c r="D41" s="4"/>
      <c r="E41" s="4"/>
      <c r="F41" s="4"/>
      <c r="G41" s="4"/>
      <c r="H41" s="4"/>
      <c r="I41" s="8"/>
      <c r="J41" s="13" t="str">
        <f>IF(B41="","",SUMIF(Despesas!$A:$A,A41,Despesas!$F:$F))</f>
        <v/>
      </c>
      <c r="K41" s="13" t="str">
        <f t="shared" si="1"/>
        <v/>
      </c>
      <c r="L41" s="15"/>
      <c r="M41" s="6"/>
      <c r="N41" s="4"/>
      <c r="O41" s="8"/>
      <c r="P41" s="4"/>
      <c r="Q41" s="8"/>
      <c r="R41" s="4"/>
      <c r="S41" s="8"/>
      <c r="T41" s="13" t="str">
        <f t="shared" si="7"/>
        <v/>
      </c>
      <c r="U41" s="8" t="str">
        <f t="shared" si="5"/>
        <v/>
      </c>
    </row>
    <row r="42" ht="15.75" customHeight="1">
      <c r="A42" s="5" t="str">
        <f t="shared" si="6"/>
        <v/>
      </c>
      <c r="B42" s="6"/>
      <c r="C42" s="4"/>
      <c r="D42" s="4"/>
      <c r="E42" s="4"/>
      <c r="F42" s="4"/>
      <c r="G42" s="4"/>
      <c r="H42" s="4"/>
      <c r="I42" s="8"/>
      <c r="J42" s="13" t="str">
        <f>IF(B42="","",SUMIF(Despesas!$A:$A,A42,Despesas!$F:$F))</f>
        <v/>
      </c>
      <c r="K42" s="13" t="str">
        <f t="shared" si="1"/>
        <v/>
      </c>
      <c r="L42" s="15"/>
      <c r="M42" s="6"/>
      <c r="N42" s="4"/>
      <c r="O42" s="8"/>
      <c r="P42" s="4"/>
      <c r="Q42" s="8"/>
      <c r="R42" s="4"/>
      <c r="S42" s="8"/>
      <c r="T42" s="13" t="str">
        <f t="shared" si="7"/>
        <v/>
      </c>
      <c r="U42" s="8" t="str">
        <f t="shared" si="5"/>
        <v/>
      </c>
    </row>
    <row r="43" ht="15.75" customHeight="1">
      <c r="A43" s="5" t="str">
        <f t="shared" si="6"/>
        <v/>
      </c>
      <c r="B43" s="6"/>
      <c r="C43" s="4"/>
      <c r="D43" s="4"/>
      <c r="E43" s="4"/>
      <c r="F43" s="4"/>
      <c r="G43" s="4"/>
      <c r="H43" s="4"/>
      <c r="I43" s="8"/>
      <c r="J43" s="13" t="str">
        <f>IF(B43="","",SUMIF(Despesas!$A:$A,A43,Despesas!$F:$F))</f>
        <v/>
      </c>
      <c r="K43" s="13" t="str">
        <f t="shared" si="1"/>
        <v/>
      </c>
      <c r="L43" s="15"/>
      <c r="M43" s="6"/>
      <c r="N43" s="4"/>
      <c r="O43" s="8"/>
      <c r="P43" s="4"/>
      <c r="Q43" s="8"/>
      <c r="R43" s="4"/>
      <c r="S43" s="8"/>
      <c r="T43" s="13" t="str">
        <f t="shared" si="7"/>
        <v/>
      </c>
      <c r="U43" s="8" t="str">
        <f t="shared" si="5"/>
        <v/>
      </c>
    </row>
    <row r="44" ht="15.75" customHeight="1">
      <c r="A44" s="5" t="str">
        <f t="shared" si="6"/>
        <v/>
      </c>
      <c r="B44" s="6"/>
      <c r="C44" s="4"/>
      <c r="D44" s="4"/>
      <c r="E44" s="4"/>
      <c r="F44" s="4"/>
      <c r="G44" s="4"/>
      <c r="H44" s="4"/>
      <c r="I44" s="8"/>
      <c r="J44" s="13" t="str">
        <f>IF(B44="","",SUMIF(Despesas!$A:$A,A44,Despesas!$F:$F))</f>
        <v/>
      </c>
      <c r="K44" s="13" t="str">
        <f t="shared" si="1"/>
        <v/>
      </c>
      <c r="L44" s="15"/>
      <c r="M44" s="6"/>
      <c r="N44" s="4"/>
      <c r="O44" s="8"/>
      <c r="P44" s="4"/>
      <c r="Q44" s="8"/>
      <c r="R44" s="4"/>
      <c r="S44" s="8"/>
      <c r="T44" s="13" t="str">
        <f t="shared" si="7"/>
        <v/>
      </c>
      <c r="U44" s="8" t="str">
        <f t="shared" si="5"/>
        <v/>
      </c>
    </row>
    <row r="45" ht="15.75" customHeight="1">
      <c r="A45" s="5" t="str">
        <f t="shared" si="6"/>
        <v/>
      </c>
      <c r="B45" s="6"/>
      <c r="C45" s="4"/>
      <c r="D45" s="4"/>
      <c r="E45" s="4"/>
      <c r="F45" s="4"/>
      <c r="G45" s="4"/>
      <c r="H45" s="4"/>
      <c r="I45" s="8"/>
      <c r="J45" s="13" t="str">
        <f>IF(B45="","",SUMIF(Despesas!$A:$A,A45,Despesas!$F:$F))</f>
        <v/>
      </c>
      <c r="K45" s="13" t="str">
        <f t="shared" si="1"/>
        <v/>
      </c>
      <c r="L45" s="15"/>
      <c r="M45" s="6"/>
      <c r="N45" s="4"/>
      <c r="O45" s="8"/>
      <c r="P45" s="4"/>
      <c r="Q45" s="8"/>
      <c r="R45" s="4"/>
      <c r="S45" s="8"/>
      <c r="T45" s="13" t="str">
        <f t="shared" si="7"/>
        <v/>
      </c>
      <c r="U45" s="8" t="str">
        <f t="shared" si="5"/>
        <v/>
      </c>
    </row>
    <row r="46" ht="15.75" customHeight="1">
      <c r="A46" s="5" t="str">
        <f t="shared" si="6"/>
        <v/>
      </c>
      <c r="B46" s="6"/>
      <c r="C46" s="4"/>
      <c r="D46" s="4"/>
      <c r="E46" s="4"/>
      <c r="F46" s="4"/>
      <c r="G46" s="4"/>
      <c r="H46" s="4"/>
      <c r="I46" s="8"/>
      <c r="J46" s="13" t="str">
        <f>IF(B46="","",SUMIF(Despesas!$A:$A,A46,Despesas!$F:$F))</f>
        <v/>
      </c>
      <c r="K46" s="13" t="str">
        <f t="shared" si="1"/>
        <v/>
      </c>
      <c r="L46" s="15"/>
      <c r="M46" s="6"/>
      <c r="N46" s="4"/>
      <c r="O46" s="8"/>
      <c r="P46" s="4"/>
      <c r="Q46" s="8"/>
      <c r="R46" s="4"/>
      <c r="S46" s="8"/>
      <c r="T46" s="13" t="str">
        <f t="shared" si="7"/>
        <v/>
      </c>
      <c r="U46" s="8" t="str">
        <f t="shared" si="5"/>
        <v/>
      </c>
    </row>
    <row r="47" ht="15.75" customHeight="1">
      <c r="A47" s="5" t="str">
        <f t="shared" si="6"/>
        <v/>
      </c>
      <c r="B47" s="6"/>
      <c r="C47" s="4"/>
      <c r="D47" s="4"/>
      <c r="E47" s="4"/>
      <c r="F47" s="4"/>
      <c r="G47" s="4"/>
      <c r="H47" s="4"/>
      <c r="I47" s="8"/>
      <c r="J47" s="13" t="str">
        <f>IF(B47="","",SUMIF(Despesas!$A:$A,A47,Despesas!$F:$F))</f>
        <v/>
      </c>
      <c r="K47" s="13" t="str">
        <f t="shared" si="1"/>
        <v/>
      </c>
      <c r="L47" s="15"/>
      <c r="M47" s="6"/>
      <c r="N47" s="4"/>
      <c r="O47" s="8"/>
      <c r="P47" s="4"/>
      <c r="Q47" s="8"/>
      <c r="R47" s="4"/>
      <c r="S47" s="8"/>
      <c r="T47" s="13" t="str">
        <f t="shared" si="7"/>
        <v/>
      </c>
      <c r="U47" s="8" t="str">
        <f t="shared" si="5"/>
        <v/>
      </c>
    </row>
    <row r="48" ht="15.75" customHeight="1">
      <c r="A48" s="5" t="str">
        <f t="shared" si="6"/>
        <v/>
      </c>
      <c r="B48" s="6"/>
      <c r="C48" s="4"/>
      <c r="D48" s="4"/>
      <c r="E48" s="4"/>
      <c r="F48" s="4"/>
      <c r="G48" s="4"/>
      <c r="H48" s="4"/>
      <c r="I48" s="8"/>
      <c r="J48" s="13" t="str">
        <f>IF(B48="","",SUMIF(Despesas!$A:$A,A48,Despesas!$F:$F))</f>
        <v/>
      </c>
      <c r="K48" s="13" t="str">
        <f t="shared" si="1"/>
        <v/>
      </c>
      <c r="L48" s="15"/>
      <c r="M48" s="6"/>
      <c r="N48" s="4"/>
      <c r="O48" s="8"/>
      <c r="P48" s="4"/>
      <c r="Q48" s="8"/>
      <c r="R48" s="4"/>
      <c r="S48" s="8"/>
      <c r="T48" s="13" t="str">
        <f t="shared" si="7"/>
        <v/>
      </c>
      <c r="U48" s="8" t="str">
        <f t="shared" si="5"/>
        <v/>
      </c>
    </row>
    <row r="49" ht="15.75" customHeight="1">
      <c r="A49" s="5"/>
      <c r="B49" s="6"/>
      <c r="C49" s="4"/>
      <c r="D49" s="4"/>
      <c r="E49" s="4"/>
      <c r="F49" s="4"/>
      <c r="G49" s="4"/>
      <c r="H49" s="4"/>
      <c r="I49" s="8"/>
      <c r="J49" s="13"/>
      <c r="K49" s="13" t="str">
        <f t="shared" si="1"/>
        <v/>
      </c>
      <c r="L49" s="15"/>
      <c r="M49" s="6"/>
      <c r="N49" s="4"/>
      <c r="O49" s="8"/>
      <c r="P49" s="4"/>
      <c r="Q49" s="8"/>
      <c r="R49" s="4"/>
      <c r="S49" s="8"/>
      <c r="T49" s="13"/>
      <c r="U49" s="8"/>
    </row>
    <row r="50" ht="15.75" customHeight="1">
      <c r="A50" s="5"/>
      <c r="B50" s="6"/>
      <c r="C50" s="4"/>
      <c r="D50" s="4"/>
      <c r="E50" s="4"/>
      <c r="F50" s="4"/>
      <c r="G50" s="4"/>
      <c r="H50" s="4"/>
      <c r="I50" s="8"/>
      <c r="J50" s="13"/>
      <c r="K50" s="13" t="str">
        <f t="shared" si="1"/>
        <v/>
      </c>
      <c r="L50" s="15"/>
      <c r="M50" s="6"/>
      <c r="N50" s="4"/>
      <c r="O50" s="8"/>
      <c r="P50" s="4"/>
      <c r="Q50" s="8"/>
      <c r="R50" s="4"/>
      <c r="S50" s="8"/>
      <c r="T50" s="13"/>
      <c r="U50" s="8"/>
    </row>
    <row r="51" ht="15.75" customHeight="1">
      <c r="A51" s="5" t="str">
        <f>IF(B51="","",ROW()-4)</f>
        <v/>
      </c>
      <c r="B51" s="6"/>
      <c r="C51" s="4"/>
      <c r="D51" s="4"/>
      <c r="E51" s="4"/>
      <c r="F51" s="4"/>
      <c r="G51" s="4"/>
      <c r="H51" s="4"/>
      <c r="I51" s="8"/>
      <c r="J51" s="13" t="str">
        <f>IF(B51="","",SUMIF(Despesas!$A:$A,A51,Despesas!$F:$F))</f>
        <v/>
      </c>
      <c r="K51" s="13" t="str">
        <f t="shared" si="1"/>
        <v/>
      </c>
      <c r="L51" s="15"/>
      <c r="M51" s="6"/>
      <c r="N51" s="4"/>
      <c r="O51" s="8"/>
      <c r="P51" s="4"/>
      <c r="Q51" s="8"/>
      <c r="R51" s="4"/>
      <c r="S51" s="8"/>
      <c r="T51" s="13" t="str">
        <f>IF(O51="","",(O51-K51))</f>
        <v/>
      </c>
      <c r="U51" s="8" t="str">
        <f>IF(B51="","",IF(M51="","Em estoque","Vendido"))</f>
        <v/>
      </c>
    </row>
    <row r="52" ht="15.75" customHeight="1">
      <c r="I52" s="13">
        <f t="shared" ref="I52:K52" si="8">SUM(I5:I12)</f>
        <v>242100</v>
      </c>
      <c r="J52" s="13">
        <f t="shared" si="8"/>
        <v>24261.8</v>
      </c>
      <c r="K52" s="13">
        <f t="shared" si="8"/>
        <v>266361.8</v>
      </c>
      <c r="T52" s="13">
        <f>SUM(T5:T12)</f>
        <v>156213.16</v>
      </c>
    </row>
    <row r="53" ht="15.75" customHeight="1">
      <c r="A53" s="19" t="s">
        <v>115</v>
      </c>
    </row>
    <row r="54" ht="15.75" customHeight="1">
      <c r="A54" s="20" t="s">
        <v>117</v>
      </c>
    </row>
    <row r="55" ht="15.75" customHeight="1">
      <c r="A55" s="20" t="s">
        <v>135</v>
      </c>
    </row>
    <row r="56" ht="15.75" customHeight="1">
      <c r="A56" s="20" t="s">
        <v>136</v>
      </c>
    </row>
    <row r="57" ht="15.75" customHeight="1">
      <c r="A57" s="20" t="s">
        <v>137</v>
      </c>
    </row>
    <row r="58" ht="15.75" customHeight="1">
      <c r="A58" s="20" t="s">
        <v>138</v>
      </c>
    </row>
    <row r="59" ht="15.75" customHeight="1">
      <c r="A59" s="20" t="s">
        <v>139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U1"/>
    <mergeCell ref="A2:U2"/>
  </mergeCells>
  <dataValidations>
    <dataValidation type="list" allowBlank="1" sqref="P5:P51">
      <formula1>"À vista,Parcelado,Financiado"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9.71"/>
    <col customWidth="1" min="4" max="4" width="16.0"/>
    <col customWidth="1" min="5" max="5" width="32.0"/>
    <col customWidth="1" min="6" max="6" width="16.43"/>
    <col customWidth="1" min="7" max="26" width="8.71"/>
  </cols>
  <sheetData>
    <row r="1">
      <c r="A1" s="1" t="s">
        <v>1</v>
      </c>
    </row>
    <row r="2">
      <c r="A2" s="3" t="s">
        <v>4</v>
      </c>
    </row>
    <row r="4" ht="44.25" customHeight="1">
      <c r="A4" s="2" t="s">
        <v>7</v>
      </c>
      <c r="B4" s="2" t="s">
        <v>11</v>
      </c>
      <c r="C4" s="2" t="s">
        <v>5</v>
      </c>
      <c r="D4" s="2" t="s">
        <v>16</v>
      </c>
      <c r="E4" s="2" t="s">
        <v>18</v>
      </c>
      <c r="F4" s="2" t="s">
        <v>21</v>
      </c>
    </row>
    <row r="5">
      <c r="A5" s="4">
        <v>1.0</v>
      </c>
      <c r="B5" s="4" t="s">
        <v>24</v>
      </c>
      <c r="C5" s="4" t="s">
        <v>26</v>
      </c>
      <c r="D5" s="6">
        <v>46275.0</v>
      </c>
      <c r="E5" s="4" t="s">
        <v>30</v>
      </c>
      <c r="F5" s="8">
        <v>2000.0</v>
      </c>
    </row>
    <row r="6">
      <c r="A6" s="4">
        <v>1.0</v>
      </c>
      <c r="B6" s="4" t="s">
        <v>24</v>
      </c>
      <c r="C6" s="4" t="s">
        <v>26</v>
      </c>
      <c r="D6" s="6">
        <v>46275.0</v>
      </c>
      <c r="E6" s="4" t="s">
        <v>36</v>
      </c>
      <c r="F6" s="8">
        <v>100.0</v>
      </c>
    </row>
    <row r="7">
      <c r="A7" s="4">
        <v>1.0</v>
      </c>
      <c r="B7" s="4" t="s">
        <v>24</v>
      </c>
      <c r="C7" s="4" t="s">
        <v>26</v>
      </c>
      <c r="D7" s="6">
        <v>46275.0</v>
      </c>
      <c r="E7" s="4" t="s">
        <v>41</v>
      </c>
      <c r="F7" s="8">
        <v>100.0</v>
      </c>
    </row>
    <row r="8">
      <c r="A8" s="4">
        <v>1.0</v>
      </c>
      <c r="B8" s="4" t="s">
        <v>24</v>
      </c>
      <c r="C8" s="4" t="s">
        <v>26</v>
      </c>
      <c r="D8" s="6">
        <v>46280.0</v>
      </c>
      <c r="E8" s="4" t="s">
        <v>45</v>
      </c>
      <c r="F8" s="8">
        <v>500.0</v>
      </c>
    </row>
    <row r="9">
      <c r="A9" s="4">
        <v>1.0</v>
      </c>
      <c r="B9" s="4" t="s">
        <v>24</v>
      </c>
      <c r="C9" s="4" t="s">
        <v>26</v>
      </c>
      <c r="D9" s="6">
        <v>46290.0</v>
      </c>
      <c r="E9" s="4" t="s">
        <v>50</v>
      </c>
      <c r="F9" s="8">
        <v>5000.0</v>
      </c>
    </row>
    <row r="10">
      <c r="A10" s="4">
        <v>1.0</v>
      </c>
      <c r="B10" s="4" t="s">
        <v>24</v>
      </c>
      <c r="C10" s="4" t="s">
        <v>26</v>
      </c>
      <c r="D10" s="11">
        <v>46296.0</v>
      </c>
      <c r="E10" s="9" t="s">
        <v>58</v>
      </c>
      <c r="F10" s="12">
        <v>2500.0</v>
      </c>
    </row>
    <row r="11">
      <c r="A11" s="4">
        <v>2.0</v>
      </c>
      <c r="B11" s="4" t="s">
        <v>62</v>
      </c>
      <c r="C11" s="4" t="s">
        <v>38</v>
      </c>
      <c r="D11" s="6">
        <v>46275.0</v>
      </c>
      <c r="E11" s="4" t="s">
        <v>63</v>
      </c>
      <c r="F11" s="8">
        <v>250.0</v>
      </c>
    </row>
    <row r="12">
      <c r="A12" s="4">
        <v>2.0</v>
      </c>
      <c r="B12" s="4" t="s">
        <v>62</v>
      </c>
      <c r="C12" s="4" t="s">
        <v>38</v>
      </c>
      <c r="D12" s="6">
        <v>46275.0</v>
      </c>
      <c r="E12" s="4" t="s">
        <v>45</v>
      </c>
      <c r="F12" s="8">
        <v>500.0</v>
      </c>
    </row>
    <row r="13">
      <c r="A13" s="4">
        <v>2.0</v>
      </c>
      <c r="B13" s="4" t="s">
        <v>62</v>
      </c>
      <c r="C13" s="4" t="s">
        <v>38</v>
      </c>
      <c r="D13" s="6">
        <v>46280.0</v>
      </c>
      <c r="E13" s="4" t="s">
        <v>64</v>
      </c>
      <c r="F13" s="8">
        <v>200.0</v>
      </c>
    </row>
    <row r="14">
      <c r="A14" s="4">
        <v>2.0</v>
      </c>
      <c r="B14" s="4" t="s">
        <v>62</v>
      </c>
      <c r="C14" s="4" t="s">
        <v>38</v>
      </c>
      <c r="D14" s="6">
        <v>46287.0</v>
      </c>
      <c r="E14" s="4" t="s">
        <v>65</v>
      </c>
      <c r="F14" s="8">
        <v>85.0</v>
      </c>
    </row>
    <row r="15">
      <c r="A15" s="4">
        <v>3.0</v>
      </c>
      <c r="B15" s="4" t="s">
        <v>66</v>
      </c>
      <c r="C15" s="4" t="s">
        <v>42</v>
      </c>
      <c r="D15" s="6">
        <v>46280.0</v>
      </c>
      <c r="E15" s="4" t="s">
        <v>67</v>
      </c>
      <c r="F15" s="8">
        <v>1500.0</v>
      </c>
    </row>
    <row r="16">
      <c r="A16" s="4">
        <v>3.0</v>
      </c>
      <c r="B16" s="4" t="s">
        <v>66</v>
      </c>
      <c r="C16" s="4" t="s">
        <v>42</v>
      </c>
      <c r="D16" s="6">
        <v>46291.0</v>
      </c>
      <c r="E16" s="4" t="s">
        <v>70</v>
      </c>
      <c r="F16" s="8">
        <v>220.0</v>
      </c>
    </row>
    <row r="17">
      <c r="A17" s="4">
        <v>3.0</v>
      </c>
      <c r="B17" s="4" t="s">
        <v>66</v>
      </c>
      <c r="C17" s="4" t="s">
        <v>42</v>
      </c>
      <c r="D17" s="6">
        <v>46291.0</v>
      </c>
      <c r="E17" s="4" t="s">
        <v>72</v>
      </c>
      <c r="F17" s="8">
        <v>500.0</v>
      </c>
    </row>
    <row r="18">
      <c r="A18" s="9">
        <v>3.0</v>
      </c>
      <c r="B18" s="4" t="s">
        <v>66</v>
      </c>
      <c r="C18" s="4" t="s">
        <v>42</v>
      </c>
      <c r="D18" s="11">
        <v>46293.0</v>
      </c>
      <c r="E18" s="9" t="s">
        <v>73</v>
      </c>
      <c r="F18" s="12">
        <v>260.0</v>
      </c>
    </row>
    <row r="19">
      <c r="A19" s="9">
        <v>3.0</v>
      </c>
      <c r="B19" s="4" t="s">
        <v>66</v>
      </c>
      <c r="C19" s="4" t="s">
        <v>42</v>
      </c>
      <c r="D19" s="11">
        <v>46294.0</v>
      </c>
      <c r="E19" s="9" t="s">
        <v>75</v>
      </c>
      <c r="F19" s="12">
        <v>621.0</v>
      </c>
    </row>
    <row r="20" ht="15.75" customHeight="1">
      <c r="A20" s="9">
        <v>3.0</v>
      </c>
      <c r="B20" s="4" t="s">
        <v>66</v>
      </c>
      <c r="C20" s="4" t="s">
        <v>42</v>
      </c>
      <c r="D20" s="11">
        <v>46296.0</v>
      </c>
      <c r="E20" s="9" t="s">
        <v>77</v>
      </c>
      <c r="F20" s="12">
        <v>45.8</v>
      </c>
    </row>
    <row r="21" ht="15.75" customHeight="1">
      <c r="A21" s="9">
        <v>3.0</v>
      </c>
      <c r="B21" s="4" t="s">
        <v>66</v>
      </c>
      <c r="C21" s="4" t="s">
        <v>42</v>
      </c>
      <c r="D21" s="11">
        <v>46296.0</v>
      </c>
      <c r="E21" s="9" t="s">
        <v>79</v>
      </c>
      <c r="F21" s="12">
        <v>70.0</v>
      </c>
    </row>
    <row r="22" ht="15.75" customHeight="1">
      <c r="A22" s="9">
        <v>3.0</v>
      </c>
      <c r="B22" s="4" t="s">
        <v>66</v>
      </c>
      <c r="C22" s="4" t="s">
        <v>42</v>
      </c>
      <c r="D22" s="11">
        <v>46296.0</v>
      </c>
      <c r="E22" s="9" t="s">
        <v>80</v>
      </c>
      <c r="F22" s="12">
        <v>22.0</v>
      </c>
    </row>
    <row r="23" ht="15.75" customHeight="1">
      <c r="A23" s="9">
        <v>3.0</v>
      </c>
      <c r="B23" s="9" t="s">
        <v>66</v>
      </c>
      <c r="C23" s="9" t="s">
        <v>42</v>
      </c>
      <c r="D23" s="11">
        <v>46300.0</v>
      </c>
      <c r="E23" s="9" t="s">
        <v>50</v>
      </c>
      <c r="F23" s="12">
        <v>3845.0</v>
      </c>
    </row>
    <row r="24" ht="15.75" customHeight="1">
      <c r="A24" s="9">
        <v>3.0</v>
      </c>
      <c r="B24" s="9" t="s">
        <v>66</v>
      </c>
      <c r="C24" s="9" t="s">
        <v>42</v>
      </c>
      <c r="D24" s="11">
        <v>46300.0</v>
      </c>
      <c r="E24" s="9" t="s">
        <v>82</v>
      </c>
      <c r="F24" s="12">
        <v>71.0</v>
      </c>
    </row>
    <row r="25" ht="15.75" customHeight="1">
      <c r="A25" s="9">
        <v>3.0</v>
      </c>
      <c r="B25" s="9" t="s">
        <v>66</v>
      </c>
      <c r="C25" s="9" t="s">
        <v>42</v>
      </c>
      <c r="D25" s="11">
        <v>46300.0</v>
      </c>
      <c r="E25" s="9" t="s">
        <v>83</v>
      </c>
      <c r="F25" s="12">
        <v>97.04</v>
      </c>
    </row>
    <row r="26" ht="15.75" customHeight="1">
      <c r="A26" s="4">
        <v>4.0</v>
      </c>
      <c r="B26" s="4" t="s">
        <v>84</v>
      </c>
      <c r="C26" s="4" t="s">
        <v>47</v>
      </c>
      <c r="D26" s="6">
        <v>46282.0</v>
      </c>
      <c r="E26" s="4" t="s">
        <v>85</v>
      </c>
      <c r="F26" s="8">
        <v>1000.0</v>
      </c>
    </row>
    <row r="27" ht="15.75" customHeight="1">
      <c r="A27" s="4">
        <v>4.0</v>
      </c>
      <c r="B27" s="4" t="s">
        <v>84</v>
      </c>
      <c r="C27" s="4" t="s">
        <v>47</v>
      </c>
      <c r="D27" s="6">
        <v>46288.0</v>
      </c>
      <c r="E27" s="4" t="s">
        <v>86</v>
      </c>
      <c r="F27" s="8">
        <v>1362.96</v>
      </c>
    </row>
    <row r="28" ht="15.75" customHeight="1">
      <c r="A28" s="4">
        <v>4.0</v>
      </c>
      <c r="B28" s="4" t="s">
        <v>84</v>
      </c>
      <c r="C28" s="4" t="s">
        <v>47</v>
      </c>
      <c r="D28" s="6">
        <v>46288.0</v>
      </c>
      <c r="E28" s="4" t="s">
        <v>87</v>
      </c>
      <c r="F28" s="8">
        <v>245.0</v>
      </c>
    </row>
    <row r="29" ht="15.75" customHeight="1">
      <c r="A29" s="4">
        <v>4.0</v>
      </c>
      <c r="B29" s="4" t="s">
        <v>84</v>
      </c>
      <c r="C29" s="4" t="s">
        <v>47</v>
      </c>
      <c r="D29" s="11">
        <v>46296.0</v>
      </c>
      <c r="E29" s="9" t="s">
        <v>88</v>
      </c>
      <c r="F29" s="12">
        <v>245.0</v>
      </c>
    </row>
    <row r="30" ht="15.75" customHeight="1">
      <c r="A30" s="4">
        <v>4.0</v>
      </c>
      <c r="B30" s="4" t="s">
        <v>84</v>
      </c>
      <c r="C30" s="4" t="s">
        <v>47</v>
      </c>
      <c r="D30" s="11">
        <v>46299.0</v>
      </c>
      <c r="E30" s="9" t="s">
        <v>89</v>
      </c>
      <c r="F30" s="12">
        <v>400.0</v>
      </c>
    </row>
    <row r="31" ht="15.75" customHeight="1">
      <c r="A31" s="9">
        <v>5.0</v>
      </c>
      <c r="B31" s="9" t="s">
        <v>90</v>
      </c>
      <c r="C31" s="9" t="s">
        <v>91</v>
      </c>
      <c r="D31" s="11">
        <v>46295.0</v>
      </c>
      <c r="E31" s="9" t="s">
        <v>92</v>
      </c>
      <c r="F31" s="12">
        <v>200.0</v>
      </c>
    </row>
    <row r="32" ht="15.75" customHeight="1">
      <c r="A32" s="9">
        <v>6.0</v>
      </c>
      <c r="B32" s="9" t="s">
        <v>93</v>
      </c>
      <c r="C32" s="9" t="s">
        <v>94</v>
      </c>
      <c r="D32" s="11">
        <v>46295.0</v>
      </c>
      <c r="E32" s="9" t="s">
        <v>96</v>
      </c>
      <c r="F32" s="12">
        <v>1000.0</v>
      </c>
    </row>
    <row r="33" ht="15.75" customHeight="1">
      <c r="A33" s="9">
        <v>6.0</v>
      </c>
      <c r="B33" s="9" t="s">
        <v>93</v>
      </c>
      <c r="C33" s="9" t="s">
        <v>94</v>
      </c>
      <c r="D33" s="11">
        <v>46296.0</v>
      </c>
      <c r="E33" s="9" t="s">
        <v>100</v>
      </c>
      <c r="F33" s="12">
        <v>350.0</v>
      </c>
    </row>
    <row r="34" ht="15.75" customHeight="1">
      <c r="A34" s="9">
        <v>6.0</v>
      </c>
      <c r="B34" s="9" t="s">
        <v>93</v>
      </c>
      <c r="C34" s="9" t="s">
        <v>94</v>
      </c>
      <c r="D34" s="11">
        <v>46297.0</v>
      </c>
      <c r="E34" s="9" t="s">
        <v>101</v>
      </c>
      <c r="F34" s="12">
        <v>300.0</v>
      </c>
    </row>
    <row r="35" ht="15.75" customHeight="1">
      <c r="A35" s="9">
        <v>6.0</v>
      </c>
      <c r="B35" s="9" t="s">
        <v>93</v>
      </c>
      <c r="C35" s="9" t="s">
        <v>94</v>
      </c>
      <c r="D35" s="11">
        <v>46297.0</v>
      </c>
      <c r="E35" s="9" t="s">
        <v>102</v>
      </c>
      <c r="F35" s="12">
        <v>39.0</v>
      </c>
    </row>
    <row r="36" ht="15.75" customHeight="1">
      <c r="A36" s="9">
        <v>6.0</v>
      </c>
      <c r="B36" s="9" t="s">
        <v>93</v>
      </c>
      <c r="C36" s="9" t="s">
        <v>94</v>
      </c>
      <c r="D36" s="11">
        <v>46301.0</v>
      </c>
      <c r="E36" s="9" t="s">
        <v>103</v>
      </c>
      <c r="F36" s="12">
        <v>633.0</v>
      </c>
    </row>
    <row r="37" ht="15.75" customHeight="1">
      <c r="A37" s="4"/>
      <c r="B37" s="4"/>
      <c r="C37" s="4"/>
      <c r="D37" s="4"/>
      <c r="E37" s="4"/>
      <c r="F37" s="8"/>
    </row>
    <row r="38" ht="15.75" customHeight="1">
      <c r="A38" s="4"/>
      <c r="B38" s="4"/>
      <c r="C38" s="4"/>
      <c r="D38" s="4"/>
      <c r="E38" s="4"/>
      <c r="F38" s="8"/>
    </row>
    <row r="39" ht="15.75" customHeight="1">
      <c r="A39" s="4"/>
      <c r="B39" s="4"/>
      <c r="C39" s="4"/>
      <c r="D39" s="4"/>
      <c r="E39" s="4"/>
      <c r="F39" s="8"/>
    </row>
    <row r="40" ht="15.75" customHeight="1">
      <c r="A40" s="4"/>
      <c r="B40" s="4"/>
      <c r="C40" s="4"/>
      <c r="D40" s="4"/>
      <c r="E40" s="4"/>
      <c r="F40" s="8"/>
    </row>
    <row r="41" ht="15.75" customHeight="1">
      <c r="A41" s="4"/>
      <c r="B41" s="4"/>
      <c r="C41" s="4"/>
      <c r="D41" s="4"/>
      <c r="E41" s="4"/>
      <c r="F41" s="8"/>
    </row>
    <row r="42" ht="15.75" customHeight="1">
      <c r="A42" s="4"/>
      <c r="B42" s="4"/>
      <c r="C42" s="4"/>
      <c r="D42" s="4"/>
      <c r="E42" s="4"/>
      <c r="F42" s="8"/>
    </row>
    <row r="43" ht="15.75" customHeight="1">
      <c r="A43" s="4"/>
      <c r="B43" s="4"/>
      <c r="C43" s="4"/>
      <c r="D43" s="4"/>
      <c r="E43" s="4"/>
      <c r="F43" s="8"/>
    </row>
    <row r="44" ht="15.75" customHeight="1">
      <c r="A44" s="4"/>
      <c r="B44" s="4"/>
      <c r="C44" s="4"/>
      <c r="D44" s="4"/>
      <c r="E44" s="4"/>
      <c r="F44" s="8"/>
    </row>
    <row r="45" ht="15.75" customHeight="1">
      <c r="A45" s="4"/>
      <c r="B45" s="4"/>
      <c r="C45" s="4"/>
      <c r="D45" s="4"/>
      <c r="E45" s="4"/>
      <c r="F45" s="8"/>
    </row>
    <row r="46" ht="15.75" customHeight="1">
      <c r="A46" s="4"/>
      <c r="B46" s="4"/>
      <c r="C46" s="4"/>
      <c r="D46" s="4"/>
      <c r="E46" s="4"/>
      <c r="F46" s="8"/>
    </row>
    <row r="47" ht="15.75" customHeight="1">
      <c r="A47" s="4"/>
      <c r="B47" s="4"/>
      <c r="C47" s="4"/>
      <c r="D47" s="4"/>
      <c r="E47" s="4"/>
      <c r="F47" s="8"/>
    </row>
    <row r="48" ht="15.75" customHeight="1">
      <c r="A48" s="4"/>
      <c r="B48" s="4"/>
      <c r="C48" s="4"/>
      <c r="D48" s="4"/>
      <c r="E48" s="4"/>
      <c r="F48" s="8"/>
    </row>
    <row r="49" ht="15.75" customHeight="1">
      <c r="A49" s="4"/>
      <c r="B49" s="4"/>
      <c r="C49" s="4"/>
      <c r="D49" s="4"/>
      <c r="E49" s="4"/>
      <c r="F49" s="8"/>
    </row>
    <row r="50" ht="15.75" customHeight="1">
      <c r="A50" s="4"/>
      <c r="B50" s="4"/>
      <c r="C50" s="4"/>
      <c r="D50" s="4"/>
      <c r="E50" s="4"/>
      <c r="F50" s="8"/>
    </row>
    <row r="51" ht="15.75" customHeight="1">
      <c r="A51" s="4"/>
      <c r="B51" s="4"/>
      <c r="C51" s="4"/>
      <c r="D51" s="4"/>
      <c r="E51" s="4"/>
      <c r="F51" s="8"/>
    </row>
    <row r="52" ht="15.75" customHeight="1">
      <c r="A52" s="4"/>
      <c r="B52" s="4"/>
      <c r="C52" s="4"/>
      <c r="D52" s="4"/>
      <c r="E52" s="4"/>
      <c r="F52" s="8"/>
    </row>
    <row r="53" ht="15.75" customHeight="1">
      <c r="A53" s="4"/>
      <c r="B53" s="4"/>
      <c r="C53" s="4"/>
      <c r="D53" s="4"/>
      <c r="E53" s="4"/>
      <c r="F53" s="8"/>
    </row>
    <row r="54" ht="15.75" customHeight="1">
      <c r="A54" s="4"/>
      <c r="B54" s="4"/>
      <c r="C54" s="4"/>
      <c r="D54" s="4"/>
      <c r="E54" s="4"/>
      <c r="F54" s="8"/>
    </row>
    <row r="55" ht="15.75" customHeight="1">
      <c r="A55" s="4"/>
      <c r="B55" s="4"/>
      <c r="C55" s="4"/>
      <c r="D55" s="4"/>
      <c r="E55" s="4"/>
      <c r="F55" s="8"/>
    </row>
    <row r="56" ht="15.75" customHeight="1">
      <c r="A56" s="4"/>
      <c r="B56" s="4"/>
      <c r="C56" s="4"/>
      <c r="D56" s="4"/>
      <c r="E56" s="4"/>
      <c r="F56" s="8"/>
    </row>
    <row r="57" ht="15.75" customHeight="1">
      <c r="A57" s="4"/>
      <c r="B57" s="4"/>
      <c r="C57" s="4"/>
      <c r="D57" s="4"/>
      <c r="E57" s="4"/>
      <c r="F57" s="8"/>
    </row>
    <row r="58" ht="15.75" customHeight="1">
      <c r="A58" s="4"/>
      <c r="B58" s="4"/>
      <c r="C58" s="4"/>
      <c r="D58" s="4"/>
      <c r="E58" s="4"/>
      <c r="F58" s="8"/>
    </row>
    <row r="59" ht="15.75" customHeight="1">
      <c r="A59" s="4"/>
      <c r="B59" s="4"/>
      <c r="C59" s="4"/>
      <c r="D59" s="4"/>
      <c r="E59" s="4"/>
      <c r="F59" s="8"/>
    </row>
    <row r="60" ht="15.75" customHeight="1"/>
    <row r="61" ht="15.75" customHeight="1">
      <c r="A61" s="19" t="s">
        <v>115</v>
      </c>
    </row>
    <row r="62" ht="15.75" customHeight="1">
      <c r="A62" s="20" t="s">
        <v>117</v>
      </c>
    </row>
    <row r="63" ht="15.75" customHeight="1">
      <c r="A63" s="20" t="s">
        <v>119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4:$Z$36">
    <sortState ref="A4:Z36">
      <sortCondition ref="A4:A36"/>
    </sortState>
  </autoFilter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20.0"/>
    <col customWidth="1" min="5" max="5" width="42.0"/>
    <col customWidth="1" min="6" max="6" width="16.0"/>
    <col customWidth="1" min="7" max="26" width="8.71"/>
  </cols>
  <sheetData>
    <row r="1">
      <c r="A1" s="1" t="s">
        <v>2</v>
      </c>
    </row>
    <row r="2">
      <c r="A2" s="3" t="s">
        <v>31</v>
      </c>
    </row>
    <row r="4" ht="27.75" customHeight="1">
      <c r="A4" s="2" t="s">
        <v>7</v>
      </c>
      <c r="B4" s="2" t="s">
        <v>11</v>
      </c>
      <c r="C4" s="2" t="s">
        <v>5</v>
      </c>
      <c r="D4" s="2" t="s">
        <v>53</v>
      </c>
      <c r="E4" s="2" t="s">
        <v>56</v>
      </c>
      <c r="F4" s="2" t="s">
        <v>57</v>
      </c>
    </row>
    <row r="5">
      <c r="A5" s="4">
        <v>1.0</v>
      </c>
      <c r="B5" s="4" t="s">
        <v>24</v>
      </c>
      <c r="C5" s="4" t="s">
        <v>61</v>
      </c>
      <c r="D5" s="4" t="s">
        <v>68</v>
      </c>
      <c r="E5" s="16" t="s">
        <v>69</v>
      </c>
      <c r="F5" s="6">
        <v>46279.0</v>
      </c>
    </row>
    <row r="6">
      <c r="A6" s="4">
        <v>2.0</v>
      </c>
      <c r="B6" s="4" t="s">
        <v>95</v>
      </c>
      <c r="C6" s="4" t="s">
        <v>38</v>
      </c>
      <c r="D6" s="4" t="s">
        <v>98</v>
      </c>
      <c r="E6" s="17" t="s">
        <v>99</v>
      </c>
      <c r="F6" s="6">
        <v>46279.0</v>
      </c>
    </row>
    <row r="7">
      <c r="A7" s="4">
        <v>3.0</v>
      </c>
      <c r="B7" s="4" t="s">
        <v>66</v>
      </c>
      <c r="C7" s="4" t="s">
        <v>42</v>
      </c>
      <c r="D7" s="4" t="s">
        <v>105</v>
      </c>
      <c r="E7" s="17" t="s">
        <v>106</v>
      </c>
      <c r="F7" s="6">
        <v>46291.0</v>
      </c>
    </row>
    <row r="8">
      <c r="A8" s="4">
        <v>3.0</v>
      </c>
      <c r="B8" s="4" t="s">
        <v>66</v>
      </c>
      <c r="C8" s="4" t="s">
        <v>42</v>
      </c>
      <c r="D8" s="4" t="s">
        <v>109</v>
      </c>
      <c r="E8" s="17" t="s">
        <v>110</v>
      </c>
      <c r="F8" s="6">
        <v>46291.0</v>
      </c>
    </row>
    <row r="9">
      <c r="A9" s="9">
        <v>3.0</v>
      </c>
      <c r="B9" s="4" t="s">
        <v>66</v>
      </c>
      <c r="C9" s="4" t="s">
        <v>42</v>
      </c>
      <c r="D9" s="9" t="s">
        <v>68</v>
      </c>
      <c r="E9" s="22" t="s">
        <v>118</v>
      </c>
      <c r="F9" s="11">
        <v>46296.0</v>
      </c>
    </row>
    <row r="10">
      <c r="A10" s="4">
        <v>4.0</v>
      </c>
      <c r="B10" s="4" t="s">
        <v>84</v>
      </c>
      <c r="C10" s="4" t="s">
        <v>47</v>
      </c>
      <c r="D10" s="4" t="s">
        <v>68</v>
      </c>
      <c r="E10" s="17" t="s">
        <v>122</v>
      </c>
      <c r="F10" s="6">
        <v>46282.0</v>
      </c>
    </row>
    <row r="11">
      <c r="A11" s="4">
        <v>7.0</v>
      </c>
      <c r="B11" s="9" t="s">
        <v>124</v>
      </c>
      <c r="C11" s="9" t="s">
        <v>125</v>
      </c>
      <c r="D11" s="9" t="s">
        <v>68</v>
      </c>
      <c r="E11" s="22" t="s">
        <v>126</v>
      </c>
      <c r="F11" s="11">
        <v>46299.0</v>
      </c>
    </row>
    <row r="12">
      <c r="A12" s="9">
        <v>8.0</v>
      </c>
      <c r="B12" s="9" t="s">
        <v>128</v>
      </c>
      <c r="C12" s="9" t="s">
        <v>129</v>
      </c>
      <c r="D12" s="9" t="s">
        <v>68</v>
      </c>
      <c r="E12" s="22" t="s">
        <v>130</v>
      </c>
      <c r="F12" s="11">
        <v>46299.0</v>
      </c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/>
    <row r="83" ht="15.75" customHeight="1">
      <c r="A83" s="19" t="s">
        <v>115</v>
      </c>
    </row>
    <row r="84" ht="15.75" customHeight="1">
      <c r="A84" s="20" t="s">
        <v>117</v>
      </c>
    </row>
    <row r="85" ht="15.75" customHeight="1">
      <c r="A85" s="20" t="s">
        <v>133</v>
      </c>
    </row>
    <row r="86" ht="15.75" customHeight="1">
      <c r="A86" s="20" t="s">
        <v>134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12">
    <sortState ref="A4:F12">
      <sortCondition ref="A4:A12"/>
    </sortState>
  </autoFilter>
  <mergeCells count="2">
    <mergeCell ref="A1:F1"/>
    <mergeCell ref="A2:F2"/>
  </mergeCells>
  <dataValidations>
    <dataValidation type="list" allowBlank="1" sqref="D9 D12:D81">
      <formula1>"CRLV,Nota fiscal,Contrato de compra e venda,Comprovante de transferência,Foto,Laudo/Vistoria,Outro"</formula1>
    </dataValidation>
    <dataValidation type="list" allowBlank="1" sqref="D5:D8 D10">
      <formula1>"CRLV,Nota fiscal,Contrato de compra,Contrato de venda,Comprovante de transferência,Foto,Laudo Transferência,Outro,ATPV,Laudo Cautelar"</formula1>
    </dataValidation>
  </dataValidation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</hyperlinks>
  <printOptions/>
  <pageMargins bottom="1.0" footer="0.0" header="0.0" left="0.75" right="0.75" top="1.0"/>
  <pageSetup paperSize="9" orientation="portrait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34.71"/>
    <col hidden="1" min="3" max="9" width="14.43"/>
  </cols>
  <sheetData>
    <row r="1">
      <c r="A1" s="2" t="s">
        <v>3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17</v>
      </c>
      <c r="L1" s="2" t="s">
        <v>19</v>
      </c>
      <c r="M1" s="2" t="s">
        <v>20</v>
      </c>
    </row>
    <row r="2">
      <c r="A2" s="5">
        <v>1.0</v>
      </c>
      <c r="B2" s="4" t="s">
        <v>26</v>
      </c>
      <c r="C2" s="4"/>
      <c r="D2" s="4"/>
      <c r="E2" s="4"/>
      <c r="F2" s="4"/>
      <c r="G2" s="4"/>
      <c r="H2" s="4"/>
      <c r="I2" s="4"/>
      <c r="J2" s="9" t="s">
        <v>33</v>
      </c>
      <c r="K2" s="9"/>
      <c r="L2" s="4"/>
      <c r="M2" s="4"/>
    </row>
    <row r="3">
      <c r="A3" s="5">
        <v>2.0</v>
      </c>
      <c r="B3" s="4" t="s">
        <v>38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5">
        <v>3.0</v>
      </c>
      <c r="B4" s="4" t="s">
        <v>42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5">
        <v>4.0</v>
      </c>
      <c r="B5" s="4" t="s">
        <v>47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>
      <c r="A6" s="10">
        <v>5.0</v>
      </c>
      <c r="B6" s="9" t="s">
        <v>54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>
      <c r="A7" s="5">
        <f>IF(B7="","",ROW()-4)</f>
        <v>3</v>
      </c>
      <c r="B7" s="9" t="s">
        <v>71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>
      <c r="A8" s="10">
        <v>7.0</v>
      </c>
      <c r="B8" s="9" t="s">
        <v>74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s="10">
        <v>8.0</v>
      </c>
      <c r="B9" s="9" t="s">
        <v>76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>
      <c r="A10" s="1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>
      <c r="A11" s="1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>
      <c r="A12" s="1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>
      <c r="A13" s="1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>
      <c r="A14" s="1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>
      <c r="A16" s="1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>
      <c r="A17" s="1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>
      <c r="A18" s="1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>
      <c r="A20" s="1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>
      <c r="A23" s="1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>
      <c r="A24" s="1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>
      <c r="A25" s="1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>
      <c r="A27" s="1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>
      <c r="A28" s="1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>
      <c r="A30" s="1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>
      <c r="A32" s="1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>
      <c r="A33" s="1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>
      <c r="A34" s="1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>
      <c r="A35" s="1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>
      <c r="A36" s="1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>
      <c r="A45" s="1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>
      <c r="A46" s="1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>
      <c r="A47" s="1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>
      <c r="A48" s="1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>
      <c r="A49" s="1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>
      <c r="A50" s="1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34.71"/>
  </cols>
  <sheetData>
    <row r="1">
      <c r="A1" s="2" t="s">
        <v>3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17</v>
      </c>
      <c r="L1" s="2" t="s">
        <v>19</v>
      </c>
      <c r="M1" s="2" t="s">
        <v>20</v>
      </c>
    </row>
    <row r="2">
      <c r="A2" s="5">
        <v>1.0</v>
      </c>
      <c r="B2" s="4" t="s">
        <v>26</v>
      </c>
      <c r="C2" s="4"/>
      <c r="D2" s="4"/>
      <c r="E2" s="4"/>
      <c r="F2" s="4"/>
      <c r="G2" s="4"/>
      <c r="H2" s="4"/>
      <c r="I2" s="4"/>
      <c r="J2" s="9"/>
      <c r="K2" s="9"/>
      <c r="L2" s="4"/>
      <c r="M2" s="4"/>
    </row>
    <row r="3">
      <c r="A3" s="5">
        <v>2.0</v>
      </c>
      <c r="B3" s="4" t="s">
        <v>38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5">
        <v>3.0</v>
      </c>
      <c r="B4" s="4" t="s">
        <v>42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5">
        <v>4.0</v>
      </c>
      <c r="B5" s="4" t="s">
        <v>47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>
      <c r="A6" s="10">
        <v>5.0</v>
      </c>
      <c r="B6" s="9" t="s">
        <v>54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>
      <c r="A7" s="5">
        <f>IF(B7="","",ROW()-4)</f>
        <v>3</v>
      </c>
      <c r="B7" s="9" t="s">
        <v>71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>
      <c r="A8" s="10">
        <v>7.0</v>
      </c>
      <c r="B8" s="9" t="s">
        <v>74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s="10">
        <v>8.0</v>
      </c>
      <c r="B9" s="9" t="s">
        <v>76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>
      <c r="A10" s="1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>
      <c r="A11" s="1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>
      <c r="A12" s="1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>
      <c r="A13" s="1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>
      <c r="A14" s="1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>
      <c r="A16" s="1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>
      <c r="A17" s="1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>
      <c r="A18" s="1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>
      <c r="A20" s="1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>
      <c r="A23" s="1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>
      <c r="A24" s="1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>
      <c r="A25" s="1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>
      <c r="A27" s="1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>
      <c r="A28" s="1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>
      <c r="A30" s="1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>
      <c r="A32" s="1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>
      <c r="A33" s="1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>
      <c r="A34" s="1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>
      <c r="A35" s="1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>
      <c r="A36" s="1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>
      <c r="A45" s="1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>
      <c r="A46" s="1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>
      <c r="A47" s="1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>
      <c r="A48" s="1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>
      <c r="A49" s="1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>
      <c r="A50" s="1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</sheetData>
  <drawing r:id="rId1"/>
</worksheet>
</file>